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jan/Desktop/"/>
    </mc:Choice>
  </mc:AlternateContent>
  <xr:revisionPtr revIDLastSave="0" documentId="13_ncr:1_{BB35DB5A-C376-E341-8657-69A90B4CF6B7}" xr6:coauthVersionLast="47" xr6:coauthVersionMax="47" xr10:uidLastSave="{00000000-0000-0000-0000-000000000000}"/>
  <bookViews>
    <workbookView xWindow="0" yWindow="500" windowWidth="51200" windowHeight="26600" activeTab="10" xr2:uid="{00000000-000D-0000-FFFF-FFFF00000000}"/>
  </bookViews>
  <sheets>
    <sheet name="DANE SUROWE" sheetId="17" r:id="rId1"/>
    <sheet name="DANE" sheetId="2" r:id="rId2"/>
    <sheet name="REGRESJA KROKOWA" sheetId="16" r:id="rId3"/>
    <sheet name="RESET" sheetId="4" r:id="rId4"/>
    <sheet name="WHITE'A" sheetId="6" r:id="rId5"/>
    <sheet name="DURBINA-WATSONA" sheetId="7" r:id="rId6"/>
    <sheet name="JBT" sheetId="8" r:id="rId7"/>
    <sheet name="DOBROĆ MODELU" sheetId="9" r:id="rId8"/>
    <sheet name="X1-modele nieliniowe" sheetId="13" r:id="rId9"/>
    <sheet name="X3-modele nieliniowe" sheetId="11" r:id="rId10"/>
    <sheet name="X6-modele nieliniowe" sheetId="15" r:id="rId11"/>
    <sheet name="Prognoza Y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4" l="1"/>
  <c r="C19" i="14"/>
  <c r="C18" i="14"/>
  <c r="C17" i="14"/>
  <c r="J104" i="11"/>
  <c r="L106" i="13"/>
  <c r="C30" i="13"/>
  <c r="C41" i="9"/>
  <c r="C40" i="9"/>
  <c r="E39" i="9" s="1"/>
  <c r="C32" i="9"/>
  <c r="C28" i="9"/>
  <c r="C27" i="9"/>
  <c r="C26" i="9"/>
  <c r="C25" i="9"/>
  <c r="C24" i="9"/>
  <c r="N10" i="8"/>
  <c r="E36" i="9" l="1"/>
  <c r="C37" i="9"/>
  <c r="C39" i="9"/>
  <c r="E37" i="9"/>
  <c r="C36" i="9"/>
  <c r="C38" i="9"/>
  <c r="E38" i="9"/>
  <c r="N9" i="8" l="1"/>
  <c r="N8" i="8"/>
  <c r="N7" i="8"/>
  <c r="N6" i="8"/>
  <c r="M25" i="7"/>
  <c r="M16" i="7" l="1"/>
  <c r="G5" i="7"/>
  <c r="C25" i="6"/>
  <c r="C24" i="6"/>
  <c r="C23" i="6"/>
  <c r="M5" i="6"/>
  <c r="L5" i="6"/>
  <c r="K5" i="6"/>
  <c r="J5" i="6"/>
  <c r="I5" i="6"/>
  <c r="H5" i="6"/>
  <c r="G5" i="6"/>
  <c r="C25" i="4"/>
  <c r="C24" i="4"/>
  <c r="C23" i="4"/>
  <c r="H5" i="4"/>
  <c r="G5" i="4"/>
  <c r="X48" i="16"/>
  <c r="N49" i="16"/>
  <c r="D49" i="16"/>
  <c r="C47" i="9"/>
  <c r="C45" i="9"/>
  <c r="C46" i="9" s="1"/>
  <c r="C42" i="9"/>
  <c r="C43" i="9"/>
  <c r="C44" i="9"/>
  <c r="O45" i="16" l="1"/>
  <c r="P49" i="16" s="1"/>
  <c r="E46" i="16"/>
  <c r="F49" i="16" s="1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AM5" i="16" a="1"/>
  <c r="AM5" i="16" s="1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AI44" i="16"/>
  <c r="Y44" i="16"/>
  <c r="Z48" i="16" s="1"/>
  <c r="Z19" i="16"/>
  <c r="Z18" i="16"/>
  <c r="Z17" i="16"/>
  <c r="Z16" i="16"/>
  <c r="Z15" i="16"/>
  <c r="Z14" i="16"/>
  <c r="Z13" i="16"/>
  <c r="Z12" i="16"/>
  <c r="Z11" i="16"/>
  <c r="Z10" i="16"/>
  <c r="Z9" i="16"/>
  <c r="Z8" i="16"/>
  <c r="Z7" i="16"/>
  <c r="Z6" i="16"/>
  <c r="Z5" i="16"/>
  <c r="Z4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C171" i="15"/>
  <c r="C189" i="15" s="1"/>
  <c r="C131" i="15"/>
  <c r="D91" i="15"/>
  <c r="C51" i="15"/>
  <c r="C72" i="15" s="1"/>
  <c r="F198" i="15" s="1"/>
  <c r="C50" i="15"/>
  <c r="E10" i="15"/>
  <c r="C172" i="15" s="1"/>
  <c r="C190" i="15" s="1"/>
  <c r="I197" i="15"/>
  <c r="C192" i="15"/>
  <c r="B192" i="15"/>
  <c r="C191" i="15"/>
  <c r="B191" i="15"/>
  <c r="H190" i="15"/>
  <c r="O197" i="15" s="1"/>
  <c r="B190" i="15"/>
  <c r="B189" i="15"/>
  <c r="C188" i="15"/>
  <c r="B188" i="15"/>
  <c r="C187" i="15"/>
  <c r="B187" i="15"/>
  <c r="C186" i="15"/>
  <c r="B186" i="15"/>
  <c r="C185" i="15"/>
  <c r="B185" i="15"/>
  <c r="C184" i="15"/>
  <c r="B184" i="15"/>
  <c r="C183" i="15"/>
  <c r="B183" i="15"/>
  <c r="C182" i="15"/>
  <c r="B182" i="15"/>
  <c r="C181" i="15"/>
  <c r="B181" i="15"/>
  <c r="C180" i="15"/>
  <c r="B180" i="15"/>
  <c r="L179" i="15"/>
  <c r="C179" i="15"/>
  <c r="B179" i="15"/>
  <c r="C178" i="15"/>
  <c r="B178" i="15"/>
  <c r="C177" i="15"/>
  <c r="B177" i="15"/>
  <c r="C149" i="15"/>
  <c r="L197" i="15" s="1"/>
  <c r="C207" i="15" s="1"/>
  <c r="I141" i="15"/>
  <c r="D134" i="15"/>
  <c r="D133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C110" i="15"/>
  <c r="L103" i="15"/>
  <c r="L102" i="15"/>
  <c r="L104" i="15" s="1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1" i="15"/>
  <c r="F197" i="15" s="1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C29" i="15"/>
  <c r="C197" i="15" s="1"/>
  <c r="D92" i="15" l="1"/>
  <c r="C111" i="15" s="1"/>
  <c r="I198" i="15" s="1"/>
  <c r="C132" i="15"/>
  <c r="D132" i="15" s="1"/>
  <c r="C18" i="15"/>
  <c r="C30" i="15" s="1"/>
  <c r="C198" i="15" s="1"/>
  <c r="C19" i="15"/>
  <c r="C150" i="15"/>
  <c r="L198" i="15" s="1"/>
  <c r="C208" i="15" s="1"/>
  <c r="H191" i="15"/>
  <c r="O198" i="15" s="1"/>
  <c r="H192" i="11"/>
  <c r="M181" i="11"/>
  <c r="B179" i="11"/>
  <c r="C179" i="11"/>
  <c r="B180" i="11"/>
  <c r="C180" i="11"/>
  <c r="B181" i="11"/>
  <c r="C181" i="11"/>
  <c r="B182" i="11"/>
  <c r="C182" i="11"/>
  <c r="B183" i="11"/>
  <c r="C183" i="11"/>
  <c r="B184" i="11"/>
  <c r="C184" i="11"/>
  <c r="B185" i="11"/>
  <c r="C185" i="11"/>
  <c r="B186" i="11"/>
  <c r="C186" i="11"/>
  <c r="B187" i="11"/>
  <c r="C187" i="11"/>
  <c r="B188" i="11"/>
  <c r="C188" i="11"/>
  <c r="B189" i="11"/>
  <c r="C189" i="11"/>
  <c r="B190" i="11"/>
  <c r="C190" i="11"/>
  <c r="B191" i="11"/>
  <c r="C191" i="11"/>
  <c r="B192" i="11"/>
  <c r="C192" i="11"/>
  <c r="B193" i="11"/>
  <c r="C193" i="11"/>
  <c r="C178" i="11"/>
  <c r="H193" i="11" s="1"/>
  <c r="B178" i="11"/>
  <c r="J105" i="11"/>
  <c r="C204" i="11" s="1"/>
  <c r="C203" i="11"/>
  <c r="C150" i="11"/>
  <c r="J141" i="11"/>
  <c r="D122" i="11"/>
  <c r="D123" i="11"/>
  <c r="D124" i="11"/>
  <c r="D125" i="11"/>
  <c r="D126" i="11"/>
  <c r="D127" i="11"/>
  <c r="C151" i="11" s="1"/>
  <c r="D128" i="11"/>
  <c r="D129" i="11"/>
  <c r="D130" i="11"/>
  <c r="D131" i="11"/>
  <c r="D132" i="11"/>
  <c r="D133" i="11"/>
  <c r="D134" i="11"/>
  <c r="D135" i="11"/>
  <c r="D136" i="11"/>
  <c r="D121" i="11"/>
  <c r="C113" i="11"/>
  <c r="F204" i="11" s="1"/>
  <c r="C112" i="11"/>
  <c r="F203" i="11" s="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83" i="11"/>
  <c r="C74" i="11"/>
  <c r="C73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40" i="11"/>
  <c r="D31" i="11"/>
  <c r="D30" i="11"/>
  <c r="J106" i="11" l="1"/>
  <c r="C205" i="11" s="1"/>
  <c r="H196" i="13"/>
  <c r="M186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82" i="13"/>
  <c r="H197" i="13" s="1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82" i="13"/>
  <c r="C154" i="13"/>
  <c r="C207" i="13" s="1"/>
  <c r="L144" i="13"/>
  <c r="D124" i="13"/>
  <c r="D125" i="13"/>
  <c r="D126" i="13"/>
  <c r="C155" i="13" s="1"/>
  <c r="C208" i="13" s="1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23" i="13"/>
  <c r="L107" i="13"/>
  <c r="L108" i="13"/>
  <c r="C115" i="13"/>
  <c r="C114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82" i="13"/>
  <c r="C74" i="13"/>
  <c r="C73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38" i="13"/>
  <c r="C29" i="13"/>
  <c r="C34" i="9" l="1"/>
  <c r="C35" i="9"/>
  <c r="C33" i="9"/>
  <c r="C30" i="9"/>
  <c r="C31" i="9"/>
  <c r="C29" i="9"/>
  <c r="H7" i="8" l="1"/>
  <c r="H14" i="8"/>
  <c r="G5" i="8"/>
  <c r="J5" i="8" s="1"/>
  <c r="G6" i="8"/>
  <c r="J6" i="8" s="1"/>
  <c r="G7" i="8"/>
  <c r="J7" i="8" s="1"/>
  <c r="G8" i="8"/>
  <c r="I8" i="8" s="1"/>
  <c r="G9" i="8"/>
  <c r="J9" i="8" s="1"/>
  <c r="G10" i="8"/>
  <c r="J10" i="8" s="1"/>
  <c r="G11" i="8"/>
  <c r="J11" i="8" s="1"/>
  <c r="G12" i="8"/>
  <c r="J12" i="8" s="1"/>
  <c r="G13" i="8"/>
  <c r="J13" i="8" s="1"/>
  <c r="G14" i="8"/>
  <c r="J14" i="8" s="1"/>
  <c r="G15" i="8"/>
  <c r="J15" i="8" s="1"/>
  <c r="G16" i="8"/>
  <c r="J16" i="8" s="1"/>
  <c r="G17" i="8"/>
  <c r="I17" i="8" s="1"/>
  <c r="G18" i="8"/>
  <c r="I18" i="8" s="1"/>
  <c r="G19" i="8"/>
  <c r="J19" i="8" s="1"/>
  <c r="G4" i="8"/>
  <c r="G20" i="8" s="1"/>
  <c r="H10" i="8" l="1"/>
  <c r="J18" i="8"/>
  <c r="H17" i="8"/>
  <c r="H9" i="8"/>
  <c r="I9" i="8"/>
  <c r="J17" i="8"/>
  <c r="I16" i="8"/>
  <c r="H15" i="8"/>
  <c r="I7" i="8"/>
  <c r="H13" i="8"/>
  <c r="H5" i="8"/>
  <c r="I13" i="8"/>
  <c r="I5" i="8"/>
  <c r="H18" i="8"/>
  <c r="I10" i="8"/>
  <c r="H8" i="8"/>
  <c r="J8" i="8"/>
  <c r="I14" i="8"/>
  <c r="H4" i="8"/>
  <c r="H12" i="8"/>
  <c r="I4" i="8"/>
  <c r="I12" i="8"/>
  <c r="J4" i="8"/>
  <c r="J20" i="8" s="1"/>
  <c r="H16" i="8"/>
  <c r="I15" i="8"/>
  <c r="H6" i="8"/>
  <c r="I6" i="8"/>
  <c r="H19" i="8"/>
  <c r="H11" i="8"/>
  <c r="I19" i="8"/>
  <c r="I11" i="8"/>
  <c r="L8" i="7" a="1"/>
  <c r="L8" i="7" s="1"/>
  <c r="G20" i="7" l="1"/>
  <c r="H20" i="7" s="1"/>
  <c r="G12" i="7"/>
  <c r="H12" i="7" s="1"/>
  <c r="G19" i="7"/>
  <c r="H19" i="7" s="1"/>
  <c r="G18" i="7"/>
  <c r="H18" i="7" s="1"/>
  <c r="I18" i="7" s="1"/>
  <c r="G9" i="7"/>
  <c r="H9" i="7" s="1"/>
  <c r="I9" i="7" s="1"/>
  <c r="I20" i="8"/>
  <c r="G16" i="7"/>
  <c r="H16" i="7" s="1"/>
  <c r="I16" i="7" s="1"/>
  <c r="G8" i="7"/>
  <c r="H8" i="7" s="1"/>
  <c r="G15" i="7"/>
  <c r="H15" i="7" s="1"/>
  <c r="H20" i="8"/>
  <c r="G11" i="7"/>
  <c r="H11" i="7" s="1"/>
  <c r="G10" i="7"/>
  <c r="H10" i="7" s="1"/>
  <c r="I10" i="7" s="1"/>
  <c r="G17" i="7"/>
  <c r="H17" i="7" s="1"/>
  <c r="G7" i="7"/>
  <c r="H7" i="7" s="1"/>
  <c r="I7" i="7" s="1"/>
  <c r="G14" i="7"/>
  <c r="H14" i="7" s="1"/>
  <c r="I14" i="7" s="1"/>
  <c r="G6" i="7"/>
  <c r="H6" i="7" s="1"/>
  <c r="H5" i="7"/>
  <c r="G13" i="7"/>
  <c r="H13" i="7" s="1"/>
  <c r="I13" i="7" s="1"/>
  <c r="J24" i="6"/>
  <c r="J23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I11" i="7" l="1"/>
  <c r="I19" i="7"/>
  <c r="I12" i="7"/>
  <c r="I17" i="7"/>
  <c r="M27" i="7"/>
  <c r="I15" i="7"/>
  <c r="I20" i="7"/>
  <c r="M26" i="7"/>
  <c r="I6" i="7"/>
  <c r="I8" i="7"/>
  <c r="I21" i="7" l="1"/>
  <c r="O16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<sst xmlns="http://schemas.openxmlformats.org/spreadsheetml/2006/main" count="1548" uniqueCount="248">
  <si>
    <t>Lata</t>
  </si>
  <si>
    <t>Restauracje i punkty gastronomiczne Y</t>
  </si>
  <si>
    <t>CPI X3</t>
  </si>
  <si>
    <t>Stosunek młodych ludzi do ogólnej liczby ludności X5</t>
  </si>
  <si>
    <t>PODSUMOWANIE - WYJŚCIE</t>
  </si>
  <si>
    <t>Statystyki regresji</t>
  </si>
  <si>
    <t>Wielokrotność R</t>
  </si>
  <si>
    <t>R kwadrat</t>
  </si>
  <si>
    <t>Dopasowany R kwadrat</t>
  </si>
  <si>
    <t>Błąd standardowy</t>
  </si>
  <si>
    <t>Obserwacje</t>
  </si>
  <si>
    <t>ANALIZA WARIANCJI</t>
  </si>
  <si>
    <t>df</t>
  </si>
  <si>
    <t>SS</t>
  </si>
  <si>
    <t>MS</t>
  </si>
  <si>
    <t>F</t>
  </si>
  <si>
    <t>Istotność F</t>
  </si>
  <si>
    <t>Regresja</t>
  </si>
  <si>
    <t>Resztkowy</t>
  </si>
  <si>
    <t>Razem</t>
  </si>
  <si>
    <t>Współczynniki</t>
  </si>
  <si>
    <t>t Stat</t>
  </si>
  <si>
    <t>Wartość-p</t>
  </si>
  <si>
    <t>Dolne 95%</t>
  </si>
  <si>
    <t>Górne 95%</t>
  </si>
  <si>
    <t>Dolne 95,0%</t>
  </si>
  <si>
    <t>Górne 95,0%</t>
  </si>
  <si>
    <t>Przecięcie</t>
  </si>
  <si>
    <t>ta</t>
  </si>
  <si>
    <t>Średnie dochody miesięczne na osobę (zł)  X1</t>
  </si>
  <si>
    <t>Stopa bezrobocia (%) X2</t>
  </si>
  <si>
    <r>
      <t>Gęstość zaludnienia (liczba ludności/km</t>
    </r>
    <r>
      <rPr>
        <b/>
        <i/>
        <vertAlign val="superscript"/>
        <sz val="12"/>
        <color theme="1"/>
        <rFont val="Aptos Narrow (Tekst podstawowy)"/>
        <charset val="238"/>
      </rPr>
      <t>2</t>
    </r>
    <r>
      <rPr>
        <b/>
        <i/>
        <sz val="12"/>
        <color theme="1"/>
        <rFont val="Aptos Narrow"/>
        <scheme val="minor"/>
      </rPr>
      <t>)X4</t>
    </r>
  </si>
  <si>
    <t>Stopień wykorzystania bazy noclegowej (%) X6</t>
  </si>
  <si>
    <t>I Krok</t>
  </si>
  <si>
    <t>II Krok</t>
  </si>
  <si>
    <r>
      <t>t</t>
    </r>
    <r>
      <rPr>
        <sz val="12"/>
        <color theme="1"/>
        <rFont val="Symbol"/>
        <family val="1"/>
        <charset val="2"/>
      </rPr>
      <t>a</t>
    </r>
  </si>
  <si>
    <t>III Krok</t>
  </si>
  <si>
    <t>IV Krok</t>
  </si>
  <si>
    <t>b1</t>
  </si>
  <si>
    <t>b3</t>
  </si>
  <si>
    <t>b6</t>
  </si>
  <si>
    <t>b0</t>
  </si>
  <si>
    <r>
      <t>y</t>
    </r>
    <r>
      <rPr>
        <b/>
        <vertAlign val="subscript"/>
        <sz val="12"/>
        <color theme="1"/>
        <rFont val="Aptos Narrow (Tekst podstawowy)"/>
        <charset val="238"/>
      </rPr>
      <t>t</t>
    </r>
    <r>
      <rPr>
        <b/>
        <vertAlign val="superscript"/>
        <sz val="12"/>
        <color theme="1"/>
        <rFont val="Aptos Narrow (Tekst podstawowy)"/>
        <charset val="238"/>
      </rPr>
      <t>2</t>
    </r>
  </si>
  <si>
    <r>
      <t>y</t>
    </r>
    <r>
      <rPr>
        <b/>
        <vertAlign val="subscript"/>
        <sz val="12"/>
        <color theme="1"/>
        <rFont val="Aptos Narrow (Tekst podstawowy)"/>
        <charset val="238"/>
      </rPr>
      <t>t</t>
    </r>
    <r>
      <rPr>
        <b/>
        <vertAlign val="superscript"/>
        <sz val="12"/>
        <color theme="1"/>
        <rFont val="Aptos Narrow (Tekst podstawowy)"/>
        <charset val="238"/>
      </rPr>
      <t>3</t>
    </r>
  </si>
  <si>
    <t>Model 1.</t>
  </si>
  <si>
    <t>model ma postać liniową</t>
  </si>
  <si>
    <t>Hipoteza alternatywna:</t>
  </si>
  <si>
    <t>model ma postać nieliniową</t>
  </si>
  <si>
    <t>SKR1</t>
  </si>
  <si>
    <t>F empiryczne</t>
  </si>
  <si>
    <t>T=</t>
  </si>
  <si>
    <t>F krytyczne</t>
  </si>
  <si>
    <t>K=</t>
  </si>
  <si>
    <t>Fist&gt;alfa</t>
  </si>
  <si>
    <t>Femp&lt;Fkryt</t>
  </si>
  <si>
    <t>DECYZJA: nie ma podstaw do odrzucenia hipotezy zerowej</t>
  </si>
  <si>
    <t>SKŁADNIKI RESZTOWE - WYJŚCIE</t>
  </si>
  <si>
    <t>Model ma postać liniową</t>
  </si>
  <si>
    <t>Obserwacja</t>
  </si>
  <si>
    <t>Przewidywane Restauracje i punkty gastronomiczne Y</t>
  </si>
  <si>
    <t>Składniki resztowe</t>
  </si>
  <si>
    <t>Model 2.</t>
  </si>
  <si>
    <t>SKR2</t>
  </si>
  <si>
    <t>yt2</t>
  </si>
  <si>
    <t>yt3</t>
  </si>
  <si>
    <r>
      <t>Średnie dochody miesięczne na osobę (zł)  X</t>
    </r>
    <r>
      <rPr>
        <b/>
        <i/>
        <vertAlign val="subscript"/>
        <sz val="12"/>
        <color theme="1"/>
        <rFont val="Aptos Narrow (Tekst podstawowy)"/>
        <charset val="238"/>
      </rPr>
      <t>1</t>
    </r>
  </si>
  <si>
    <r>
      <t>Stopień wykorzystania bazy noclegowej (%) X</t>
    </r>
    <r>
      <rPr>
        <b/>
        <i/>
        <vertAlign val="subscript"/>
        <sz val="12"/>
        <color theme="1"/>
        <rFont val="Aptos Narrow (Tekst podstawowy)"/>
        <charset val="238"/>
      </rPr>
      <t>6</t>
    </r>
  </si>
  <si>
    <t>X1^2</t>
  </si>
  <si>
    <t>X3^2</t>
  </si>
  <si>
    <t>X6^2</t>
  </si>
  <si>
    <t>X1X3</t>
  </si>
  <si>
    <t>X1X6</t>
  </si>
  <si>
    <t>X3X6</t>
  </si>
  <si>
    <t>et^2</t>
  </si>
  <si>
    <t>p=</t>
  </si>
  <si>
    <t>H0: Składnik losowy jest homoskedastyczny</t>
  </si>
  <si>
    <t>H1: Składnik losowy jest heteroskedastyczny</t>
  </si>
  <si>
    <t>Model 2</t>
  </si>
  <si>
    <t>Yt</t>
  </si>
  <si>
    <t>et</t>
  </si>
  <si>
    <t>(et-et01)^2</t>
  </si>
  <si>
    <t xml:space="preserve"> -</t>
  </si>
  <si>
    <t>REGLINP</t>
  </si>
  <si>
    <t>DW=</t>
  </si>
  <si>
    <t>alfa</t>
  </si>
  <si>
    <t>T</t>
  </si>
  <si>
    <t>K</t>
  </si>
  <si>
    <t>dL</t>
  </si>
  <si>
    <t>suma</t>
  </si>
  <si>
    <t>dU</t>
  </si>
  <si>
    <t>brak korelacji reszt d'&gt;dU</t>
  </si>
  <si>
    <t>r(DW)</t>
  </si>
  <si>
    <t>r(K)</t>
  </si>
  <si>
    <t>Brak podstaw do odrzucenia hipotezy zerowej. Składnik losowy jest homoskedastyczny</t>
  </si>
  <si>
    <t>r(wk)</t>
  </si>
  <si>
    <t>e</t>
  </si>
  <si>
    <r>
      <t>e</t>
    </r>
    <r>
      <rPr>
        <b/>
        <i/>
        <vertAlign val="superscript"/>
        <sz val="12"/>
        <color theme="1"/>
        <rFont val="Aptos Narrow (Tekst podstawowy)"/>
        <charset val="238"/>
      </rPr>
      <t>2</t>
    </r>
  </si>
  <si>
    <r>
      <t>e</t>
    </r>
    <r>
      <rPr>
        <b/>
        <i/>
        <vertAlign val="superscript"/>
        <sz val="12"/>
        <color theme="1"/>
        <rFont val="Aptos Narrow (Tekst podstawowy)"/>
        <charset val="238"/>
      </rPr>
      <t>3</t>
    </r>
    <r>
      <rPr>
        <sz val="12"/>
        <color theme="1"/>
        <rFont val="Aptos Narrow"/>
        <family val="2"/>
        <charset val="238"/>
        <scheme val="minor"/>
      </rPr>
      <t/>
    </r>
  </si>
  <si>
    <r>
      <t>e</t>
    </r>
    <r>
      <rPr>
        <b/>
        <i/>
        <vertAlign val="superscript"/>
        <sz val="12"/>
        <color theme="1"/>
        <rFont val="Aptos Narrow (Tekst podstawowy)"/>
        <charset val="238"/>
      </rPr>
      <t>4</t>
    </r>
    <r>
      <rPr>
        <sz val="12"/>
        <color theme="1"/>
        <rFont val="Aptos Narrow"/>
        <family val="2"/>
        <charset val="238"/>
        <scheme val="minor"/>
      </rPr>
      <t/>
    </r>
  </si>
  <si>
    <t>JBT</t>
  </si>
  <si>
    <t>S=</t>
  </si>
  <si>
    <t>R2</t>
  </si>
  <si>
    <r>
      <t>R</t>
    </r>
    <r>
      <rPr>
        <vertAlign val="superscript"/>
        <sz val="12"/>
        <color theme="1"/>
        <rFont val="Aptos Narrow (Tekst podstawowy)"/>
        <charset val="238"/>
      </rPr>
      <t>2</t>
    </r>
  </si>
  <si>
    <t>V</t>
  </si>
  <si>
    <r>
      <rPr>
        <sz val="12"/>
        <color rgb="FF202122"/>
        <rFont val="Aptos Narrow (Tekst podstawowy)"/>
        <charset val="238"/>
      </rPr>
      <t>Φ</t>
    </r>
    <r>
      <rPr>
        <vertAlign val="superscript"/>
        <sz val="12"/>
        <color rgb="FF202122"/>
        <rFont val="Aptos Narrow (Tekst podstawowy)"/>
        <charset val="238"/>
      </rPr>
      <t>2</t>
    </r>
  </si>
  <si>
    <t>s</t>
  </si>
  <si>
    <r>
      <t>d</t>
    </r>
    <r>
      <rPr>
        <vertAlign val="subscript"/>
        <sz val="12"/>
        <color theme="1"/>
        <rFont val="Aptos Narrow (Tekst podstawowy)"/>
        <charset val="238"/>
      </rPr>
      <t>1</t>
    </r>
  </si>
  <si>
    <r>
      <t>d</t>
    </r>
    <r>
      <rPr>
        <vertAlign val="subscript"/>
        <sz val="12"/>
        <color theme="1"/>
        <rFont val="Aptos Narrow (Tekst podstawowy)"/>
        <charset val="238"/>
      </rPr>
      <t>3</t>
    </r>
  </si>
  <si>
    <r>
      <t>d</t>
    </r>
    <r>
      <rPr>
        <vertAlign val="subscript"/>
        <sz val="12"/>
        <color theme="1"/>
        <rFont val="Aptos Narrow (Tekst podstawowy)"/>
        <charset val="238"/>
      </rPr>
      <t>6</t>
    </r>
  </si>
  <si>
    <t>p1</t>
  </si>
  <si>
    <t>p3</t>
  </si>
  <si>
    <t>p6</t>
  </si>
  <si>
    <t>Chikwadrat</t>
  </si>
  <si>
    <t>JBT&lt;ChiKwadrat</t>
  </si>
  <si>
    <t>1) Liniowy</t>
  </si>
  <si>
    <t>Zmienne istotne</t>
  </si>
  <si>
    <t>2) Hiperbola</t>
  </si>
  <si>
    <t>Model oryginalny</t>
  </si>
  <si>
    <t>3) Parabola</t>
  </si>
  <si>
    <t>Model pomocniczy</t>
  </si>
  <si>
    <t>b2</t>
  </si>
  <si>
    <t>Xw</t>
  </si>
  <si>
    <t>Yw</t>
  </si>
  <si>
    <t>Y</t>
  </si>
  <si>
    <t>X</t>
  </si>
  <si>
    <t>Z=1/t</t>
  </si>
  <si>
    <t>Z=t^2</t>
  </si>
  <si>
    <t>Lata nieistotne</t>
  </si>
  <si>
    <t>Delta</t>
  </si>
  <si>
    <t>4) Wykładnicza</t>
  </si>
  <si>
    <t>W=lnY</t>
  </si>
  <si>
    <t>b1=</t>
  </si>
  <si>
    <t>5) Potęgowa</t>
  </si>
  <si>
    <t>lnt</t>
  </si>
  <si>
    <t>Z=lnt</t>
  </si>
  <si>
    <t>b</t>
  </si>
  <si>
    <t>Składnik losowy ma rozkład normalny</t>
  </si>
  <si>
    <t>Zmienne nieistotne</t>
  </si>
  <si>
    <t>t</t>
  </si>
  <si>
    <t>t^2</t>
  </si>
  <si>
    <t>5) Potęgowy</t>
  </si>
  <si>
    <t>4) Wykładniczy</t>
  </si>
  <si>
    <t>lnY</t>
  </si>
  <si>
    <t>1) Liniowe</t>
  </si>
  <si>
    <t xml:space="preserve"> V</t>
  </si>
  <si>
    <t>4)Wykładniczy</t>
  </si>
  <si>
    <t>Wybieramy wykładniczy</t>
  </si>
  <si>
    <t>Wybieramy Parabolę</t>
  </si>
  <si>
    <t xml:space="preserve">Najmniejszy wskaźnik inflacji (Cpi) równy 100,07 wystepuje w roku 7,22 (czyli 2014) </t>
  </si>
  <si>
    <t>Liniowa</t>
  </si>
  <si>
    <t>Hiperbola</t>
  </si>
  <si>
    <t>Parabola</t>
  </si>
  <si>
    <t>Wykładniczy</t>
  </si>
  <si>
    <t>Potęgowy</t>
  </si>
  <si>
    <t>Wskaźnik inflacji (CPI) X3</t>
  </si>
  <si>
    <r>
      <t>Wskaźnik inflacji (CPI)  X</t>
    </r>
    <r>
      <rPr>
        <b/>
        <i/>
        <vertAlign val="subscript"/>
        <sz val="12"/>
        <color theme="1"/>
        <rFont val="Aptos Narrow (Tekst podstawowy)"/>
        <charset val="238"/>
      </rPr>
      <t>3</t>
    </r>
  </si>
  <si>
    <t>!</t>
  </si>
  <si>
    <t>Gęstość zaludnienia (liczba ludności/km2)X4</t>
  </si>
  <si>
    <t>Stosunek młodych ludzi do ogólnej liczby ludności (%) X5</t>
  </si>
  <si>
    <t>F istotność</t>
  </si>
  <si>
    <t>d'=4-d</t>
  </si>
  <si>
    <t>Prognoza Punktowa Y</t>
  </si>
  <si>
    <t>Model teoretyczny</t>
  </si>
  <si>
    <t>X1</t>
  </si>
  <si>
    <r>
      <t>X</t>
    </r>
    <r>
      <rPr>
        <b/>
        <vertAlign val="subscript"/>
        <sz val="12"/>
        <color theme="1"/>
        <rFont val="Aptos Narrow (Tekst podstawowy)"/>
        <charset val="238"/>
      </rPr>
      <t>1</t>
    </r>
    <r>
      <rPr>
        <b/>
        <vertAlign val="superscript"/>
        <sz val="12"/>
        <color theme="1"/>
        <rFont val="Aptos Narrow (Tekst podstawowy)"/>
        <charset val="238"/>
      </rPr>
      <t>t+1</t>
    </r>
  </si>
  <si>
    <t>t+1= 17(2024 rok)</t>
  </si>
  <si>
    <r>
      <t>X</t>
    </r>
    <r>
      <rPr>
        <b/>
        <vertAlign val="subscript"/>
        <sz val="12"/>
        <color theme="1"/>
        <rFont val="Aptos Narrow (Tekst podstawowy)"/>
        <charset val="238"/>
      </rPr>
      <t>3</t>
    </r>
    <r>
      <rPr>
        <b/>
        <vertAlign val="superscript"/>
        <sz val="12"/>
        <color theme="1"/>
        <rFont val="Aptos Narrow (Tekst podstawowy)"/>
        <charset val="238"/>
      </rPr>
      <t>t+1</t>
    </r>
  </si>
  <si>
    <r>
      <t>X</t>
    </r>
    <r>
      <rPr>
        <b/>
        <vertAlign val="subscript"/>
        <sz val="12"/>
        <color theme="1"/>
        <rFont val="Aptos Narrow (Tekst podstawowy)"/>
        <charset val="238"/>
      </rPr>
      <t>6</t>
    </r>
    <r>
      <rPr>
        <b/>
        <vertAlign val="superscript"/>
        <sz val="12"/>
        <color theme="1"/>
        <rFont val="Aptos Narrow (Tekst podstawowy)"/>
        <charset val="238"/>
      </rPr>
      <t>t+1</t>
    </r>
  </si>
  <si>
    <t>Liczba restauracji i punktów gastronomicznych w 2024 jest przewidywana na poziomie 18 220</t>
  </si>
  <si>
    <t>restauracje</t>
  </si>
  <si>
    <t>bary</t>
  </si>
  <si>
    <t>stołówki</t>
  </si>
  <si>
    <t>punkty gastronomiczne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</si>
  <si>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</si>
  <si>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</si>
  <si>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</si>
  <si>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</si>
  <si>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</si>
  <si>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</si>
  <si>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</si>
  <si>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</si>
  <si>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</si>
  <si>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</si>
  <si>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</si>
  <si>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</si>
  <si>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</si>
  <si>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</si>
  <si>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</si>
  <si>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</si>
  <si>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[ob.]</t>
  </si>
  <si>
    <t>ogółem</t>
  </si>
  <si>
    <t>[zł]</t>
  </si>
  <si>
    <t>[%]</t>
  </si>
  <si>
    <t>[-]</t>
  </si>
  <si>
    <t>ludność na 1 km2</t>
  </si>
  <si>
    <t>[osoba]</t>
  </si>
  <si>
    <t>15-19</t>
  </si>
  <si>
    <t>20-24</t>
  </si>
  <si>
    <t>25-29</t>
  </si>
  <si>
    <t xml:space="preserve">Liczba restauracji i </t>
  </si>
  <si>
    <t>punktów gastronomicznych</t>
  </si>
  <si>
    <t>Średnie miesięczne dochody</t>
  </si>
  <si>
    <t>Stopa bezrobocia</t>
  </si>
  <si>
    <t>Wskaźnik inflacji CPI</t>
  </si>
  <si>
    <t>Gęstość zaludnienia</t>
  </si>
  <si>
    <t>Ogólna liczba ludności</t>
  </si>
  <si>
    <t>Liczba ludzi młodych</t>
  </si>
  <si>
    <t>Stosunek ludzi młodych do</t>
  </si>
  <si>
    <t>ogólnej liczby ludności</t>
  </si>
  <si>
    <t>X6</t>
  </si>
  <si>
    <t>X5</t>
  </si>
  <si>
    <t>X4</t>
  </si>
  <si>
    <t>X2</t>
  </si>
  <si>
    <t>X3</t>
  </si>
  <si>
    <t>Stopień wykorzystania</t>
  </si>
  <si>
    <t>bazy noclegowej</t>
  </si>
  <si>
    <t>Stosunek młodych ludzi do ogólnej liczby ludności(%) X5</t>
  </si>
  <si>
    <t>ud1</t>
  </si>
  <si>
    <r>
      <t>d</t>
    </r>
    <r>
      <rPr>
        <vertAlign val="subscript"/>
        <sz val="12"/>
        <color theme="1"/>
        <rFont val="Aptos Narrow (Tekst podstawowy)"/>
        <charset val="238"/>
      </rPr>
      <t>0</t>
    </r>
  </si>
  <si>
    <t>p0</t>
  </si>
  <si>
    <t>ud0</t>
  </si>
  <si>
    <t>ud3</t>
  </si>
  <si>
    <t>ud6</t>
  </si>
  <si>
    <t>ug0</t>
  </si>
  <si>
    <t>ug1</t>
  </si>
  <si>
    <t>ug3</t>
  </si>
  <si>
    <t>ug6</t>
  </si>
  <si>
    <r>
      <t>t</t>
    </r>
    <r>
      <rPr>
        <vertAlign val="subscript"/>
        <sz val="12"/>
        <color theme="1"/>
        <rFont val="Aptos Narrow (Tekst podstawowy)"/>
        <charset val="238"/>
      </rPr>
      <t>0</t>
    </r>
  </si>
  <si>
    <r>
      <t>t</t>
    </r>
    <r>
      <rPr>
        <vertAlign val="subscript"/>
        <sz val="12"/>
        <color theme="1"/>
        <rFont val="Aptos Narrow (Tekst podstawowy)"/>
        <charset val="238"/>
      </rPr>
      <t>1</t>
    </r>
  </si>
  <si>
    <r>
      <t>t</t>
    </r>
    <r>
      <rPr>
        <vertAlign val="subscript"/>
        <sz val="12"/>
        <color theme="1"/>
        <rFont val="Aptos Narrow (Tekst podstawowy)"/>
        <charset val="238"/>
      </rPr>
      <t>3</t>
    </r>
  </si>
  <si>
    <r>
      <t>t</t>
    </r>
    <r>
      <rPr>
        <vertAlign val="subscript"/>
        <sz val="12"/>
        <color theme="1"/>
        <rFont val="Aptos Narrow (Tekst podstawowy)"/>
        <charset val="238"/>
      </rPr>
      <t>6</t>
    </r>
  </si>
  <si>
    <r>
      <t>F</t>
    </r>
    <r>
      <rPr>
        <vertAlign val="subscript"/>
        <sz val="12"/>
        <color theme="1"/>
        <rFont val="Aptos Narrow (Tekst podstawowy)"/>
        <charset val="238"/>
      </rPr>
      <t>a</t>
    </r>
  </si>
  <si>
    <t>Co roku w latach 2008-2023 średnie dochody miesięczne na osobe wzrastały przeciętnie o 5%</t>
  </si>
  <si>
    <t xml:space="preserve">W roku 2007 teoretyczne średnie dochody miesięczne na osobę wynosiły 2852,43 zł </t>
  </si>
  <si>
    <t>Co roku w latach 2008-2023 stopień wykorzystania bazy noclegowej wzrastał przeciętnie o 1%</t>
  </si>
  <si>
    <t xml:space="preserve">W roku 2007 teoretyczny stopień wkorzystania bazy noclegowej wynosił 33,66% </t>
  </si>
  <si>
    <r>
      <t>Ŷ</t>
    </r>
    <r>
      <rPr>
        <vertAlign val="subscript"/>
        <sz val="12"/>
        <color theme="1"/>
        <rFont val="Aptos Narrow (Tekst podstawowy)"/>
        <charset val="238"/>
      </rPr>
      <t xml:space="preserve">t+1  </t>
    </r>
    <r>
      <rPr>
        <sz val="12"/>
        <color theme="1"/>
        <rFont val="Aptos Narrow"/>
        <family val="2"/>
        <charset val="238"/>
        <scheme val="minor"/>
      </rPr>
      <t>=</t>
    </r>
  </si>
  <si>
    <t>&lt;</t>
  </si>
  <si>
    <t>Więc usuwamy ta zmienną</t>
  </si>
  <si>
    <r>
      <t>Wszystkie wartości statystyki testowej t są większe od t</t>
    </r>
    <r>
      <rPr>
        <sz val="12"/>
        <color theme="1"/>
        <rFont val="Symbol"/>
        <family val="1"/>
        <charset val="2"/>
      </rPr>
      <t>a</t>
    </r>
  </si>
  <si>
    <t>Żadnej zmiennej nie usuwamy</t>
  </si>
  <si>
    <t>Wszystkie zmienne istotne</t>
  </si>
  <si>
    <t>Hipoteza zerowa:</t>
  </si>
  <si>
    <t xml:space="preserve">Więc usuwamy tą zmienną </t>
  </si>
  <si>
    <t>Brak podstaw do odrzucenia hipotezy zerowej</t>
  </si>
  <si>
    <t>IstotnośćChi</t>
  </si>
  <si>
    <t>IstotnośćChi&gt;alfa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</si>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</sst>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zł&quot;_);[Red]\(#,##0.00\ &quot;zł&quot;\)"/>
    <numFmt numFmtId="43" formatCode="_ * #,##0.00_)_ ;_ * \(#,##0.00\)_ ;_ * &quot;-&quot;??_)_ ;_ @_ "/>
    <numFmt numFmtId="164" formatCode="#,##0.0"/>
    <numFmt numFmtId="165" formatCode="0.000"/>
    <numFmt numFmtId="166" formatCode="0.0000"/>
    <numFmt numFmtId="167" formatCode="0.000000"/>
  </numFmts>
  <fonts count="34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family val="2"/>
      <charset val="238"/>
      <scheme val="minor"/>
    </font>
    <font>
      <sz val="11"/>
      <name val="Calibri"/>
      <family val="2"/>
      <charset val="238"/>
    </font>
    <font>
      <sz val="12"/>
      <color theme="1"/>
      <name val="Symbol"/>
      <family val="1"/>
      <charset val="2"/>
    </font>
    <font>
      <b/>
      <i/>
      <sz val="12"/>
      <color theme="1"/>
      <name val="Aptos Narrow"/>
      <scheme val="minor"/>
    </font>
    <font>
      <b/>
      <i/>
      <vertAlign val="superscript"/>
      <sz val="12"/>
      <color theme="1"/>
      <name val="Aptos Narrow (Tekst podstawowy)"/>
      <charset val="238"/>
    </font>
    <font>
      <b/>
      <sz val="12"/>
      <color theme="1"/>
      <name val="Aptos Narrow"/>
      <family val="2"/>
      <charset val="238"/>
      <scheme val="minor"/>
    </font>
    <font>
      <b/>
      <vertAlign val="subscript"/>
      <sz val="12"/>
      <color theme="1"/>
      <name val="Aptos Narrow (Tekst podstawowy)"/>
      <charset val="238"/>
    </font>
    <font>
      <b/>
      <vertAlign val="superscript"/>
      <sz val="12"/>
      <color theme="1"/>
      <name val="Aptos Narrow (Tekst podstawowy)"/>
      <charset val="238"/>
    </font>
    <font>
      <b/>
      <i/>
      <vertAlign val="subscript"/>
      <sz val="12"/>
      <color theme="1"/>
      <name val="Aptos Narrow (Tekst podstawowy)"/>
      <charset val="238"/>
    </font>
    <font>
      <sz val="40"/>
      <color rgb="FFFF0000"/>
      <name val="Aptos Narrow"/>
      <family val="2"/>
      <charset val="238"/>
      <scheme val="minor"/>
    </font>
    <font>
      <b/>
      <sz val="10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charset val="238"/>
      <scheme val="minor"/>
    </font>
    <font>
      <b/>
      <i/>
      <sz val="12"/>
      <color rgb="FF000000"/>
      <name val="Aptos Narrow"/>
      <scheme val="minor"/>
    </font>
    <font>
      <sz val="12"/>
      <color rgb="FF000000"/>
      <name val="Aptos Narrow"/>
      <family val="2"/>
      <charset val="238"/>
      <scheme val="minor"/>
    </font>
    <font>
      <vertAlign val="superscript"/>
      <sz val="12"/>
      <color theme="1"/>
      <name val="Aptos Narrow (Tekst podstawowy)"/>
      <charset val="238"/>
    </font>
    <font>
      <sz val="12"/>
      <color rgb="FF202122"/>
      <name val="Aptos Narrow (Tekst podstawowy)"/>
      <charset val="238"/>
    </font>
    <font>
      <vertAlign val="superscript"/>
      <sz val="12"/>
      <color rgb="FF202122"/>
      <name val="Aptos Narrow (Tekst podstawowy)"/>
      <charset val="238"/>
    </font>
    <font>
      <vertAlign val="subscript"/>
      <sz val="12"/>
      <color theme="1"/>
      <name val="Aptos Narrow (Tekst podstawowy)"/>
      <charset val="238"/>
    </font>
    <font>
      <sz val="20"/>
      <color theme="1"/>
      <name val="Aptos Narrow"/>
      <family val="2"/>
      <charset val="238"/>
      <scheme val="minor"/>
    </font>
    <font>
      <sz val="24"/>
      <color theme="1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sz val="18"/>
      <color theme="1"/>
      <name val="Aptos Narrow"/>
      <family val="2"/>
      <charset val="238"/>
      <scheme val="minor"/>
    </font>
    <font>
      <sz val="50"/>
      <color theme="1"/>
      <name val="Aptos Narrow"/>
      <family val="2"/>
      <charset val="238"/>
      <scheme val="minor"/>
    </font>
    <font>
      <sz val="18"/>
      <color rgb="FFFF0000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1"/>
      <color rgb="FF000000"/>
      <name val="Calibri"/>
      <family val="2"/>
    </font>
    <font>
      <i/>
      <sz val="12"/>
      <color theme="1"/>
      <name val="Aptos Narrow"/>
      <scheme val="minor"/>
    </font>
    <font>
      <i/>
      <sz val="12"/>
      <color rgb="FF000000"/>
      <name val="Aptos Narrow"/>
      <scheme val="minor"/>
    </font>
    <font>
      <sz val="12"/>
      <color theme="1"/>
      <name val="Symbol"/>
      <charset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3D3D3"/>
      </patternFill>
    </fill>
    <fill>
      <patternFill patternType="solid">
        <fgColor rgb="FFFFFF00"/>
        <bgColor rgb="FF000000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9" fillId="0" borderId="0" applyFont="0" applyFill="0" applyBorder="0" applyAlignment="0" applyProtection="0"/>
    <xf numFmtId="0" fontId="30" fillId="6" borderId="41">
      <alignment horizontal="left" vertical="center" wrapText="1"/>
    </xf>
  </cellStyleXfs>
  <cellXfs count="210">
    <xf numFmtId="0" fontId="0" fillId="0" borderId="0" xfId="0"/>
    <xf numFmtId="0" fontId="0" fillId="0" borderId="0" xfId="0" applyAlignment="1">
      <alignment wrapText="1"/>
    </xf>
    <xf numFmtId="0" fontId="0" fillId="0" borderId="5" xfId="0" applyBorder="1"/>
    <xf numFmtId="0" fontId="0" fillId="0" borderId="6" xfId="0" applyBorder="1"/>
    <xf numFmtId="2" fontId="0" fillId="0" borderId="2" xfId="0" applyNumberFormat="1" applyBorder="1" applyAlignment="1">
      <alignment vertical="center"/>
    </xf>
    <xf numFmtId="2" fontId="0" fillId="0" borderId="14" xfId="0" applyNumberFormat="1" applyBorder="1" applyAlignment="1">
      <alignment vertical="center"/>
    </xf>
    <xf numFmtId="0" fontId="0" fillId="0" borderId="20" xfId="0" applyBorder="1"/>
    <xf numFmtId="0" fontId="3" fillId="0" borderId="21" xfId="0" applyFont="1" applyBorder="1" applyAlignment="1">
      <alignment horizontal="center"/>
    </xf>
    <xf numFmtId="0" fontId="3" fillId="0" borderId="21" xfId="0" applyFont="1" applyBorder="1" applyAlignment="1">
      <alignment horizontal="centerContinuous"/>
    </xf>
    <xf numFmtId="0" fontId="1" fillId="0" borderId="0" xfId="0" applyFont="1"/>
    <xf numFmtId="2" fontId="4" fillId="0" borderId="10" xfId="0" applyNumberFormat="1" applyFont="1" applyBorder="1" applyAlignment="1">
      <alignment vertical="center"/>
    </xf>
    <xf numFmtId="2" fontId="4" fillId="0" borderId="11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4" fontId="0" fillId="0" borderId="14" xfId="0" applyNumberFormat="1" applyBorder="1"/>
    <xf numFmtId="164" fontId="0" fillId="0" borderId="14" xfId="0" applyNumberFormat="1" applyBorder="1"/>
    <xf numFmtId="164" fontId="0" fillId="0" borderId="17" xfId="0" applyNumberFormat="1" applyBorder="1"/>
    <xf numFmtId="2" fontId="4" fillId="0" borderId="9" xfId="0" applyNumberFormat="1" applyFont="1" applyBorder="1" applyAlignment="1">
      <alignment vertical="center"/>
    </xf>
    <xf numFmtId="2" fontId="0" fillId="0" borderId="11" xfId="0" applyNumberFormat="1" applyBorder="1" applyAlignment="1">
      <alignment vertical="center"/>
    </xf>
    <xf numFmtId="4" fontId="0" fillId="0" borderId="28" xfId="0" applyNumberFormat="1" applyBorder="1"/>
    <xf numFmtId="4" fontId="0" fillId="0" borderId="16" xfId="0" applyNumberFormat="1" applyBorder="1"/>
    <xf numFmtId="164" fontId="0" fillId="0" borderId="16" xfId="0" applyNumberFormat="1" applyBorder="1"/>
    <xf numFmtId="2" fontId="4" fillId="0" borderId="26" xfId="0" applyNumberFormat="1" applyFont="1" applyBorder="1" applyAlignment="1">
      <alignment vertical="center"/>
    </xf>
    <xf numFmtId="2" fontId="4" fillId="0" borderId="14" xfId="0" applyNumberFormat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4" fontId="0" fillId="0" borderId="0" xfId="0" applyNumberFormat="1"/>
    <xf numFmtId="164" fontId="0" fillId="0" borderId="0" xfId="0" applyNumberFormat="1"/>
    <xf numFmtId="0" fontId="0" fillId="2" borderId="0" xfId="0" applyFill="1"/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2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4" xfId="0" applyFont="1" applyBorder="1"/>
    <xf numFmtId="0" fontId="6" fillId="0" borderId="3" xfId="0" applyFont="1" applyBorder="1"/>
    <xf numFmtId="0" fontId="6" fillId="0" borderId="27" xfId="0" applyFont="1" applyBorder="1"/>
    <xf numFmtId="2" fontId="0" fillId="0" borderId="0" xfId="0" applyNumberFormat="1"/>
    <xf numFmtId="0" fontId="3" fillId="0" borderId="21" xfId="0" applyFont="1" applyBorder="1" applyAlignment="1">
      <alignment horizontal="center" wrapText="1"/>
    </xf>
    <xf numFmtId="0" fontId="6" fillId="0" borderId="1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2" fontId="4" fillId="0" borderId="10" xfId="0" applyNumberFormat="1" applyFon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6" fillId="0" borderId="3" xfId="0" applyFont="1" applyBorder="1" applyAlignment="1">
      <alignment wrapText="1"/>
    </xf>
    <xf numFmtId="2" fontId="4" fillId="0" borderId="9" xfId="0" applyNumberFormat="1" applyFont="1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0" fontId="3" fillId="0" borderId="21" xfId="0" applyFont="1" applyBorder="1" applyAlignment="1">
      <alignment horizontal="centerContinuous" wrapText="1"/>
    </xf>
    <xf numFmtId="0" fontId="0" fillId="0" borderId="20" xfId="0" applyBorder="1" applyAlignment="1">
      <alignment wrapText="1"/>
    </xf>
    <xf numFmtId="0" fontId="6" fillId="0" borderId="27" xfId="0" applyFont="1" applyBorder="1" applyAlignment="1">
      <alignment wrapText="1"/>
    </xf>
    <xf numFmtId="2" fontId="4" fillId="0" borderId="26" xfId="0" applyNumberFormat="1" applyFont="1" applyBorder="1" applyAlignment="1">
      <alignment vertical="center" wrapText="1"/>
    </xf>
    <xf numFmtId="2" fontId="0" fillId="0" borderId="14" xfId="0" applyNumberFormat="1" applyBorder="1" applyAlignment="1">
      <alignment vertical="center" wrapText="1"/>
    </xf>
    <xf numFmtId="0" fontId="0" fillId="3" borderId="0" xfId="0" applyFill="1" applyAlignment="1">
      <alignment wrapText="1"/>
    </xf>
    <xf numFmtId="0" fontId="0" fillId="0" borderId="2" xfId="0" applyBorder="1" applyAlignment="1">
      <alignment wrapText="1"/>
    </xf>
    <xf numFmtId="4" fontId="0" fillId="0" borderId="2" xfId="0" applyNumberFormat="1" applyBorder="1" applyAlignment="1">
      <alignment wrapText="1"/>
    </xf>
    <xf numFmtId="164" fontId="0" fillId="0" borderId="2" xfId="0" applyNumberFormat="1" applyBorder="1" applyAlignment="1">
      <alignment wrapText="1"/>
    </xf>
    <xf numFmtId="2" fontId="0" fillId="0" borderId="16" xfId="0" applyNumberFormat="1" applyBorder="1" applyAlignment="1">
      <alignment wrapText="1"/>
    </xf>
    <xf numFmtId="164" fontId="0" fillId="0" borderId="14" xfId="0" applyNumberFormat="1" applyBorder="1" applyAlignment="1">
      <alignment wrapText="1"/>
    </xf>
    <xf numFmtId="0" fontId="0" fillId="0" borderId="14" xfId="0" applyBorder="1" applyAlignment="1">
      <alignment wrapText="1"/>
    </xf>
    <xf numFmtId="2" fontId="0" fillId="0" borderId="17" xfId="0" applyNumberFormat="1" applyBorder="1" applyAlignment="1">
      <alignment wrapText="1"/>
    </xf>
    <xf numFmtId="4" fontId="0" fillId="0" borderId="11" xfId="0" applyNumberFormat="1" applyBorder="1" applyAlignment="1">
      <alignment wrapText="1"/>
    </xf>
    <xf numFmtId="0" fontId="0" fillId="0" borderId="11" xfId="0" applyBorder="1" applyAlignment="1">
      <alignment wrapText="1"/>
    </xf>
    <xf numFmtId="2" fontId="0" fillId="0" borderId="28" xfId="0" applyNumberForma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0" fillId="3" borderId="0" xfId="0" applyFill="1"/>
    <xf numFmtId="0" fontId="0" fillId="0" borderId="0" xfId="0" applyAlignment="1">
      <alignment horizontal="left" wrapText="1" indent="5"/>
    </xf>
    <xf numFmtId="0" fontId="3" fillId="3" borderId="21" xfId="0" applyFont="1" applyFill="1" applyBorder="1" applyAlignment="1">
      <alignment horizontal="center"/>
    </xf>
    <xf numFmtId="0" fontId="0" fillId="3" borderId="20" xfId="0" applyFill="1" applyBorder="1"/>
    <xf numFmtId="0" fontId="0" fillId="0" borderId="34" xfId="0" applyBorder="1"/>
    <xf numFmtId="0" fontId="0" fillId="0" borderId="29" xfId="0" applyBorder="1"/>
    <xf numFmtId="0" fontId="0" fillId="0" borderId="30" xfId="0" applyBorder="1"/>
    <xf numFmtId="0" fontId="0" fillId="0" borderId="35" xfId="0" applyBorder="1"/>
    <xf numFmtId="0" fontId="0" fillId="0" borderId="31" xfId="0" applyBorder="1"/>
    <xf numFmtId="0" fontId="0" fillId="0" borderId="36" xfId="0" applyBorder="1"/>
    <xf numFmtId="0" fontId="0" fillId="0" borderId="32" xfId="0" applyBorder="1"/>
    <xf numFmtId="0" fontId="0" fillId="4" borderId="20" xfId="0" applyFill="1" applyBorder="1"/>
    <xf numFmtId="0" fontId="6" fillId="0" borderId="0" xfId="0" applyFont="1" applyAlignment="1">
      <alignment wrapText="1"/>
    </xf>
    <xf numFmtId="0" fontId="3" fillId="4" borderId="21" xfId="0" applyFont="1" applyFill="1" applyBorder="1" applyAlignment="1">
      <alignment horizontal="center"/>
    </xf>
    <xf numFmtId="0" fontId="0" fillId="4" borderId="0" xfId="0" applyFill="1"/>
    <xf numFmtId="0" fontId="12" fillId="0" borderId="0" xfId="0" applyFont="1"/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13" fillId="2" borderId="0" xfId="0" applyFont="1" applyFill="1" applyAlignment="1">
      <alignment horizontal="center"/>
    </xf>
    <xf numFmtId="0" fontId="15" fillId="0" borderId="0" xfId="0" applyFont="1"/>
    <xf numFmtId="0" fontId="14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2" fontId="0" fillId="0" borderId="37" xfId="0" applyNumberFormat="1" applyBorder="1" applyAlignment="1">
      <alignment vertical="center"/>
    </xf>
    <xf numFmtId="4" fontId="0" fillId="0" borderId="2" xfId="0" applyNumberFormat="1" applyBorder="1"/>
    <xf numFmtId="0" fontId="0" fillId="0" borderId="2" xfId="0" applyBorder="1"/>
    <xf numFmtId="2" fontId="0" fillId="0" borderId="2" xfId="0" applyNumberFormat="1" applyBorder="1"/>
    <xf numFmtId="164" fontId="0" fillId="0" borderId="2" xfId="0" applyNumberFormat="1" applyBorder="1"/>
    <xf numFmtId="2" fontId="0" fillId="0" borderId="16" xfId="0" applyNumberFormat="1" applyBorder="1"/>
    <xf numFmtId="0" fontId="0" fillId="0" borderId="14" xfId="0" applyBorder="1"/>
    <xf numFmtId="2" fontId="0" fillId="0" borderId="17" xfId="0" applyNumberFormat="1" applyBorder="1"/>
    <xf numFmtId="4" fontId="0" fillId="0" borderId="11" xfId="0" applyNumberFormat="1" applyBorder="1"/>
    <xf numFmtId="0" fontId="0" fillId="0" borderId="11" xfId="0" applyBorder="1"/>
    <xf numFmtId="2" fontId="0" fillId="0" borderId="28" xfId="0" applyNumberFormat="1" applyBorder="1"/>
    <xf numFmtId="164" fontId="0" fillId="0" borderId="18" xfId="0" applyNumberFormat="1" applyBorder="1"/>
    <xf numFmtId="0" fontId="0" fillId="0" borderId="18" xfId="0" applyBorder="1"/>
    <xf numFmtId="2" fontId="0" fillId="0" borderId="19" xfId="0" applyNumberFormat="1" applyBorder="1"/>
    <xf numFmtId="2" fontId="0" fillId="0" borderId="18" xfId="0" applyNumberFormat="1" applyBorder="1"/>
    <xf numFmtId="0" fontId="0" fillId="0" borderId="25" xfId="0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0" fontId="0" fillId="0" borderId="28" xfId="0" applyBorder="1"/>
    <xf numFmtId="0" fontId="17" fillId="0" borderId="1" xfId="0" applyFont="1" applyBorder="1" applyAlignment="1">
      <alignment horizontal="right"/>
    </xf>
    <xf numFmtId="0" fontId="17" fillId="0" borderId="12" xfId="0" applyFont="1" applyBorder="1" applyAlignment="1">
      <alignment wrapText="1"/>
    </xf>
    <xf numFmtId="0" fontId="17" fillId="0" borderId="38" xfId="0" applyFont="1" applyBorder="1" applyAlignment="1">
      <alignment wrapText="1"/>
    </xf>
    <xf numFmtId="0" fontId="17" fillId="0" borderId="4" xfId="0" applyFont="1" applyBorder="1"/>
    <xf numFmtId="2" fontId="18" fillId="0" borderId="10" xfId="0" applyNumberFormat="1" applyFont="1" applyBorder="1" applyAlignment="1">
      <alignment vertical="center"/>
    </xf>
    <xf numFmtId="4" fontId="18" fillId="0" borderId="39" xfId="0" applyNumberFormat="1" applyFont="1" applyBorder="1"/>
    <xf numFmtId="164" fontId="18" fillId="0" borderId="39" xfId="0" applyNumberFormat="1" applyFont="1" applyBorder="1"/>
    <xf numFmtId="0" fontId="17" fillId="0" borderId="24" xfId="0" applyFont="1" applyBorder="1"/>
    <xf numFmtId="2" fontId="4" fillId="0" borderId="40" xfId="0" applyNumberFormat="1" applyFont="1" applyBorder="1" applyAlignment="1">
      <alignment vertical="center"/>
    </xf>
    <xf numFmtId="2" fontId="18" fillId="0" borderId="40" xfId="0" applyNumberFormat="1" applyFont="1" applyBorder="1" applyAlignment="1">
      <alignment vertical="center"/>
    </xf>
    <xf numFmtId="164" fontId="18" fillId="0" borderId="32" xfId="0" applyNumberFormat="1" applyFont="1" applyBorder="1"/>
    <xf numFmtId="10" fontId="0" fillId="0" borderId="0" xfId="0" applyNumberFormat="1"/>
    <xf numFmtId="0" fontId="0" fillId="0" borderId="22" xfId="0" applyBorder="1"/>
    <xf numFmtId="10" fontId="0" fillId="0" borderId="15" xfId="0" applyNumberFormat="1" applyBorder="1"/>
    <xf numFmtId="0" fontId="20" fillId="0" borderId="23" xfId="0" applyFont="1" applyBorder="1"/>
    <xf numFmtId="10" fontId="0" fillId="0" borderId="16" xfId="0" applyNumberFormat="1" applyBorder="1"/>
    <xf numFmtId="0" fontId="0" fillId="0" borderId="23" xfId="0" applyBorder="1"/>
    <xf numFmtId="0" fontId="0" fillId="0" borderId="13" xfId="0" applyBorder="1"/>
    <xf numFmtId="0" fontId="23" fillId="2" borderId="0" xfId="0" applyFont="1" applyFill="1"/>
    <xf numFmtId="2" fontId="0" fillId="0" borderId="20" xfId="0" applyNumberFormat="1" applyBorder="1"/>
    <xf numFmtId="2" fontId="18" fillId="0" borderId="16" xfId="0" applyNumberFormat="1" applyFont="1" applyBorder="1" applyAlignment="1">
      <alignment vertical="center"/>
    </xf>
    <xf numFmtId="2" fontId="18" fillId="0" borderId="17" xfId="0" applyNumberFormat="1" applyFont="1" applyBorder="1" applyAlignment="1">
      <alignment vertical="center"/>
    </xf>
    <xf numFmtId="0" fontId="0" fillId="0" borderId="33" xfId="0" applyBorder="1"/>
    <xf numFmtId="2" fontId="18" fillId="0" borderId="28" xfId="0" applyNumberFormat="1" applyFont="1" applyBorder="1" applyAlignment="1">
      <alignment vertical="center"/>
    </xf>
    <xf numFmtId="0" fontId="17" fillId="0" borderId="6" xfId="0" applyFont="1" applyBorder="1" applyAlignment="1">
      <alignment wrapText="1"/>
    </xf>
    <xf numFmtId="0" fontId="6" fillId="0" borderId="25" xfId="0" applyFont="1" applyBorder="1"/>
    <xf numFmtId="0" fontId="24" fillId="2" borderId="0" xfId="0" applyFont="1" applyFill="1"/>
    <xf numFmtId="165" fontId="0" fillId="0" borderId="0" xfId="0" applyNumberFormat="1"/>
    <xf numFmtId="165" fontId="0" fillId="0" borderId="20" xfId="0" applyNumberFormat="1" applyBorder="1"/>
    <xf numFmtId="10" fontId="0" fillId="4" borderId="0" xfId="0" applyNumberFormat="1" applyFill="1"/>
    <xf numFmtId="0" fontId="26" fillId="0" borderId="34" xfId="0" applyFont="1" applyBorder="1"/>
    <xf numFmtId="0" fontId="26" fillId="4" borderId="35" xfId="0" applyFont="1" applyFill="1" applyBorder="1"/>
    <xf numFmtId="10" fontId="26" fillId="4" borderId="0" xfId="0" applyNumberFormat="1" applyFont="1" applyFill="1"/>
    <xf numFmtId="0" fontId="26" fillId="4" borderId="36" xfId="0" applyFont="1" applyFill="1" applyBorder="1"/>
    <xf numFmtId="0" fontId="26" fillId="4" borderId="20" xfId="0" applyFont="1" applyFill="1" applyBorder="1"/>
    <xf numFmtId="0" fontId="25" fillId="0" borderId="0" xfId="0" applyFont="1"/>
    <xf numFmtId="0" fontId="26" fillId="0" borderId="29" xfId="0" applyFont="1" applyBorder="1"/>
    <xf numFmtId="10" fontId="0" fillId="0" borderId="31" xfId="0" applyNumberFormat="1" applyBorder="1"/>
    <xf numFmtId="0" fontId="27" fillId="0" borderId="0" xfId="0" applyFont="1"/>
    <xf numFmtId="164" fontId="18" fillId="5" borderId="39" xfId="0" applyNumberFormat="1" applyFont="1" applyFill="1" applyBorder="1"/>
    <xf numFmtId="164" fontId="0" fillId="5" borderId="0" xfId="0" applyNumberFormat="1" applyFill="1"/>
    <xf numFmtId="0" fontId="28" fillId="0" borderId="0" xfId="0" applyFont="1"/>
    <xf numFmtId="0" fontId="0" fillId="2" borderId="34" xfId="0" applyFill="1" applyBorder="1"/>
    <xf numFmtId="0" fontId="0" fillId="2" borderId="30" xfId="0" applyFill="1" applyBorder="1"/>
    <xf numFmtId="0" fontId="0" fillId="2" borderId="35" xfId="0" applyFill="1" applyBorder="1"/>
    <xf numFmtId="10" fontId="0" fillId="2" borderId="31" xfId="0" applyNumberFormat="1" applyFill="1" applyBorder="1"/>
    <xf numFmtId="0" fontId="0" fillId="2" borderId="36" xfId="0" applyFill="1" applyBorder="1"/>
    <xf numFmtId="0" fontId="0" fillId="2" borderId="32" xfId="0" applyFill="1" applyBorder="1"/>
    <xf numFmtId="0" fontId="0" fillId="5" borderId="0" xfId="0" applyFill="1"/>
    <xf numFmtId="167" fontId="0" fillId="0" borderId="0" xfId="0" applyNumberFormat="1"/>
    <xf numFmtId="166" fontId="0" fillId="0" borderId="0" xfId="0" applyNumberFormat="1"/>
    <xf numFmtId="0" fontId="8" fillId="0" borderId="0" xfId="0" applyFont="1"/>
    <xf numFmtId="0" fontId="30" fillId="6" borderId="41" xfId="2">
      <alignment horizontal="left" vertical="center" wrapText="1"/>
    </xf>
    <xf numFmtId="3" fontId="0" fillId="0" borderId="0" xfId="0" applyNumberFormat="1"/>
    <xf numFmtId="1" fontId="0" fillId="0" borderId="0" xfId="1" applyNumberFormat="1" applyFont="1"/>
    <xf numFmtId="1" fontId="0" fillId="0" borderId="0" xfId="0" applyNumberFormat="1"/>
    <xf numFmtId="0" fontId="0" fillId="0" borderId="42" xfId="0" applyBorder="1"/>
    <xf numFmtId="0" fontId="0" fillId="0" borderId="43" xfId="0" applyBorder="1"/>
    <xf numFmtId="0" fontId="0" fillId="0" borderId="38" xfId="0" applyBorder="1"/>
    <xf numFmtId="1" fontId="0" fillId="0" borderId="0" xfId="1" applyNumberFormat="1" applyFont="1" applyAlignment="1"/>
    <xf numFmtId="0" fontId="18" fillId="7" borderId="0" xfId="0" applyFont="1" applyFill="1"/>
    <xf numFmtId="2" fontId="0" fillId="2" borderId="34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0" fillId="0" borderId="16" xfId="0" applyBorder="1"/>
    <xf numFmtId="0" fontId="0" fillId="0" borderId="17" xfId="0" applyBorder="1"/>
    <xf numFmtId="2" fontId="2" fillId="0" borderId="2" xfId="0" applyNumberFormat="1" applyFont="1" applyBorder="1" applyAlignment="1">
      <alignment horizontal="right"/>
    </xf>
    <xf numFmtId="2" fontId="0" fillId="0" borderId="15" xfId="0" applyNumberFormat="1" applyBorder="1"/>
    <xf numFmtId="0" fontId="2" fillId="0" borderId="45" xfId="0" applyFont="1" applyBorder="1" applyAlignment="1">
      <alignment horizontal="left"/>
    </xf>
    <xf numFmtId="0" fontId="0" fillId="0" borderId="9" xfId="0" applyBorder="1"/>
    <xf numFmtId="0" fontId="0" fillId="0" borderId="46" xfId="0" applyBorder="1"/>
    <xf numFmtId="0" fontId="0" fillId="0" borderId="8" xfId="0" applyBorder="1"/>
    <xf numFmtId="0" fontId="2" fillId="0" borderId="23" xfId="0" applyFont="1" applyBorder="1" applyAlignment="1">
      <alignment horizontal="left"/>
    </xf>
    <xf numFmtId="0" fontId="0" fillId="0" borderId="47" xfId="0" applyBorder="1"/>
    <xf numFmtId="0" fontId="17" fillId="0" borderId="48" xfId="0" applyFont="1" applyBorder="1" applyAlignment="1">
      <alignment wrapText="1"/>
    </xf>
    <xf numFmtId="2" fontId="18" fillId="0" borderId="49" xfId="0" applyNumberFormat="1" applyFont="1" applyBorder="1" applyAlignment="1">
      <alignment vertical="center"/>
    </xf>
    <xf numFmtId="2" fontId="18" fillId="0" borderId="44" xfId="0" applyNumberFormat="1" applyFont="1" applyBorder="1" applyAlignment="1">
      <alignment vertical="center"/>
    </xf>
    <xf numFmtId="2" fontId="18" fillId="0" borderId="37" xfId="0" applyNumberFormat="1" applyFont="1" applyBorder="1" applyAlignment="1">
      <alignment vertical="center"/>
    </xf>
    <xf numFmtId="2" fontId="18" fillId="0" borderId="39" xfId="0" applyNumberFormat="1" applyFont="1" applyBorder="1" applyAlignment="1">
      <alignment vertical="center"/>
    </xf>
    <xf numFmtId="0" fontId="6" fillId="0" borderId="24" xfId="0" applyFont="1" applyBorder="1"/>
    <xf numFmtId="2" fontId="18" fillId="0" borderId="32" xfId="0" applyNumberFormat="1" applyFont="1" applyBorder="1" applyAlignment="1">
      <alignment vertical="center"/>
    </xf>
    <xf numFmtId="0" fontId="6" fillId="0" borderId="42" xfId="0" applyFont="1" applyBorder="1" applyAlignment="1">
      <alignment horizontal="right"/>
    </xf>
    <xf numFmtId="0" fontId="6" fillId="0" borderId="7" xfId="0" applyFont="1" applyBorder="1"/>
    <xf numFmtId="0" fontId="0" fillId="0" borderId="1" xfId="0" applyBorder="1"/>
    <xf numFmtId="0" fontId="6" fillId="0" borderId="36" xfId="0" applyFont="1" applyBorder="1"/>
    <xf numFmtId="0" fontId="17" fillId="0" borderId="43" xfId="0" applyFont="1" applyBorder="1" applyAlignment="1">
      <alignment wrapText="1"/>
    </xf>
    <xf numFmtId="4" fontId="18" fillId="0" borderId="50" xfId="0" applyNumberFormat="1" applyFont="1" applyBorder="1"/>
    <xf numFmtId="164" fontId="18" fillId="0" borderId="50" xfId="0" applyNumberFormat="1" applyFont="1" applyBorder="1"/>
    <xf numFmtId="164" fontId="18" fillId="5" borderId="50" xfId="0" applyNumberFormat="1" applyFont="1" applyFill="1" applyBorder="1"/>
    <xf numFmtId="164" fontId="18" fillId="0" borderId="20" xfId="0" applyNumberFormat="1" applyFont="1" applyBorder="1"/>
    <xf numFmtId="0" fontId="31" fillId="0" borderId="42" xfId="0" applyFont="1" applyBorder="1" applyAlignment="1">
      <alignment horizontal="right"/>
    </xf>
    <xf numFmtId="0" fontId="32" fillId="0" borderId="38" xfId="0" applyFont="1" applyBorder="1" applyAlignment="1">
      <alignment wrapText="1"/>
    </xf>
    <xf numFmtId="0" fontId="2" fillId="0" borderId="5" xfId="0" applyFont="1" applyBorder="1"/>
    <xf numFmtId="0" fontId="0" fillId="2" borderId="0" xfId="0" applyFill="1" applyAlignment="1">
      <alignment horizontal="right"/>
    </xf>
    <xf numFmtId="8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0" borderId="51" xfId="0" applyBorder="1"/>
    <xf numFmtId="0" fontId="33" fillId="0" borderId="26" xfId="0" applyFont="1" applyBorder="1"/>
    <xf numFmtId="0" fontId="30" fillId="6" borderId="41" xfId="2">
      <alignment horizontal="left" vertical="center" wrapText="1"/>
    </xf>
  </cellXfs>
  <cellStyles count="3">
    <cellStyle name="Dziesiętny" xfId="1" builtinId="3"/>
    <cellStyle name="Kolumna" xfId="2" xr:uid="{00000000-0005-0000-0000-000001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DANE!$D$2</c:f>
              <c:strCache>
                <c:ptCount val="1"/>
                <c:pt idx="0">
                  <c:v>Średnie dochody miesięczne na osobę (zł)  X1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DANE!$B$3:$B$18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xVal>
          <c:yVal>
            <c:numRef>
              <c:f>DANE!$D$3:$D$18</c:f>
              <c:numCache>
                <c:formatCode>0.00</c:formatCode>
                <c:ptCount val="16"/>
                <c:pt idx="0">
                  <c:v>3158.48</c:v>
                </c:pt>
                <c:pt idx="1">
                  <c:v>3315.38</c:v>
                </c:pt>
                <c:pt idx="2">
                  <c:v>3435</c:v>
                </c:pt>
                <c:pt idx="3">
                  <c:v>3625.21</c:v>
                </c:pt>
                <c:pt idx="4">
                  <c:v>3744.38</c:v>
                </c:pt>
                <c:pt idx="5">
                  <c:v>3877.43</c:v>
                </c:pt>
                <c:pt idx="6">
                  <c:v>4003.99</c:v>
                </c:pt>
                <c:pt idx="7">
                  <c:v>4150.8599999999997</c:v>
                </c:pt>
                <c:pt idx="8">
                  <c:v>4290.5200000000004</c:v>
                </c:pt>
                <c:pt idx="9">
                  <c:v>4527.8900000000003</c:v>
                </c:pt>
                <c:pt idx="10">
                  <c:v>4834.76</c:v>
                </c:pt>
                <c:pt idx="11">
                  <c:v>5181.63</c:v>
                </c:pt>
                <c:pt idx="12">
                  <c:v>5523.32</c:v>
                </c:pt>
                <c:pt idx="13">
                  <c:v>6001.02</c:v>
                </c:pt>
                <c:pt idx="14">
                  <c:v>6705.62</c:v>
                </c:pt>
                <c:pt idx="15">
                  <c:v>7595.3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6-EC44-84F0-52DA28881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39008"/>
        <c:axId val="176940544"/>
      </c:scatterChart>
      <c:valAx>
        <c:axId val="17693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6940544"/>
        <c:crosses val="autoZero"/>
        <c:crossBetween val="midCat"/>
      </c:valAx>
      <c:valAx>
        <c:axId val="1769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693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DANE!$E$2</c:f>
              <c:strCache>
                <c:ptCount val="1"/>
                <c:pt idx="0">
                  <c:v>Stopa bezrobocia (%) X2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DANE!$B$3:$B$18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xVal>
          <c:yVal>
            <c:numRef>
              <c:f>DANE!$E$3:$E$18</c:f>
              <c:numCache>
                <c:formatCode>0.00</c:formatCode>
                <c:ptCount val="16"/>
                <c:pt idx="0">
                  <c:v>9.5</c:v>
                </c:pt>
                <c:pt idx="1">
                  <c:v>12.1</c:v>
                </c:pt>
                <c:pt idx="2">
                  <c:v>12.4</c:v>
                </c:pt>
                <c:pt idx="3">
                  <c:v>12.5</c:v>
                </c:pt>
                <c:pt idx="4">
                  <c:v>13.4</c:v>
                </c:pt>
                <c:pt idx="5">
                  <c:v>13.4</c:v>
                </c:pt>
                <c:pt idx="6">
                  <c:v>11.4</c:v>
                </c:pt>
                <c:pt idx="7">
                  <c:v>9.6999999999999993</c:v>
                </c:pt>
                <c:pt idx="8">
                  <c:v>8.1999999999999993</c:v>
                </c:pt>
                <c:pt idx="9">
                  <c:v>6.6</c:v>
                </c:pt>
                <c:pt idx="10">
                  <c:v>5.8</c:v>
                </c:pt>
                <c:pt idx="11">
                  <c:v>5.2</c:v>
                </c:pt>
                <c:pt idx="12">
                  <c:v>6.3</c:v>
                </c:pt>
                <c:pt idx="13">
                  <c:v>5.8</c:v>
                </c:pt>
                <c:pt idx="14">
                  <c:v>5.2</c:v>
                </c:pt>
                <c:pt idx="15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AB-8A47-8649-DCC2D2CDF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96352"/>
        <c:axId val="171797888"/>
      </c:scatterChart>
      <c:valAx>
        <c:axId val="17179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797888"/>
        <c:crosses val="autoZero"/>
        <c:crossBetween val="midCat"/>
      </c:valAx>
      <c:valAx>
        <c:axId val="17179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79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DANE!$F$2</c:f>
              <c:strCache>
                <c:ptCount val="1"/>
                <c:pt idx="0">
                  <c:v>Wskaźnik inflacji (CPI) X3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DANE!$B$3:$B$18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xVal>
          <c:yVal>
            <c:numRef>
              <c:f>DANE!$F$3:$F$18</c:f>
              <c:numCache>
                <c:formatCode>0.00</c:formatCode>
                <c:ptCount val="16"/>
                <c:pt idx="0">
                  <c:v>104.2</c:v>
                </c:pt>
                <c:pt idx="1">
                  <c:v>103.5</c:v>
                </c:pt>
                <c:pt idx="2">
                  <c:v>102.6</c:v>
                </c:pt>
                <c:pt idx="3">
                  <c:v>104.3</c:v>
                </c:pt>
                <c:pt idx="4">
                  <c:v>103.7</c:v>
                </c:pt>
                <c:pt idx="5">
                  <c:v>100.9</c:v>
                </c:pt>
                <c:pt idx="6">
                  <c:v>100</c:v>
                </c:pt>
                <c:pt idx="7">
                  <c:v>99.1</c:v>
                </c:pt>
                <c:pt idx="8">
                  <c:v>99.4</c:v>
                </c:pt>
                <c:pt idx="9">
                  <c:v>102</c:v>
                </c:pt>
                <c:pt idx="10">
                  <c:v>101.6</c:v>
                </c:pt>
                <c:pt idx="11">
                  <c:v>102.3</c:v>
                </c:pt>
                <c:pt idx="12">
                  <c:v>103.4</c:v>
                </c:pt>
                <c:pt idx="13">
                  <c:v>105.1</c:v>
                </c:pt>
                <c:pt idx="14">
                  <c:v>114.4</c:v>
                </c:pt>
                <c:pt idx="15">
                  <c:v>111.4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CE-3A42-9ED6-8D22BF705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77696"/>
        <c:axId val="178079232"/>
      </c:scatterChart>
      <c:valAx>
        <c:axId val="17807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079232"/>
        <c:crosses val="autoZero"/>
        <c:crossBetween val="midCat"/>
      </c:valAx>
      <c:valAx>
        <c:axId val="1780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07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DANE!$G$2</c:f>
              <c:strCache>
                <c:ptCount val="1"/>
                <c:pt idx="0">
                  <c:v>Gęstość zaludnienia (liczba ludności/km2)X4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DANE!$B$3:$B$18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xVal>
          <c:yVal>
            <c:numRef>
              <c:f>DANE!$G$3:$G$18</c:f>
              <c:numCache>
                <c:formatCode>0.00</c:formatCode>
                <c:ptCount val="16"/>
                <c:pt idx="0">
                  <c:v>122</c:v>
                </c:pt>
                <c:pt idx="1">
                  <c:v>122.1</c:v>
                </c:pt>
                <c:pt idx="2">
                  <c:v>123.2</c:v>
                </c:pt>
                <c:pt idx="3">
                  <c:v>123.3</c:v>
                </c:pt>
                <c:pt idx="4">
                  <c:v>123.2</c:v>
                </c:pt>
                <c:pt idx="5">
                  <c:v>123.1</c:v>
                </c:pt>
                <c:pt idx="6">
                  <c:v>123.1</c:v>
                </c:pt>
                <c:pt idx="7">
                  <c:v>122.9</c:v>
                </c:pt>
                <c:pt idx="8">
                  <c:v>122.9</c:v>
                </c:pt>
                <c:pt idx="9">
                  <c:v>122.9</c:v>
                </c:pt>
                <c:pt idx="10">
                  <c:v>122.8</c:v>
                </c:pt>
                <c:pt idx="11">
                  <c:v>122.7</c:v>
                </c:pt>
                <c:pt idx="12">
                  <c:v>121.8</c:v>
                </c:pt>
                <c:pt idx="13">
                  <c:v>121.2</c:v>
                </c:pt>
                <c:pt idx="14">
                  <c:v>120.8</c:v>
                </c:pt>
                <c:pt idx="15">
                  <c:v>119.9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8-5649-864B-102E36463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00096"/>
        <c:axId val="178101632"/>
      </c:scatterChart>
      <c:valAx>
        <c:axId val="17810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101632"/>
        <c:crosses val="autoZero"/>
        <c:crossBetween val="midCat"/>
      </c:valAx>
      <c:valAx>
        <c:axId val="17810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10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DANE!$H$2</c:f>
              <c:strCache>
                <c:ptCount val="1"/>
                <c:pt idx="0">
                  <c:v>Stosunek młodych ludzi do ogólnej liczby ludności (%) X5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DANE!$B$3:$B$18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xVal>
          <c:yVal>
            <c:numRef>
              <c:f>DANE!$H$3:$H$18</c:f>
              <c:numCache>
                <c:formatCode>0.00</c:formatCode>
                <c:ptCount val="16"/>
                <c:pt idx="0">
                  <c:v>23.419999999999998</c:v>
                </c:pt>
                <c:pt idx="1">
                  <c:v>22.96</c:v>
                </c:pt>
                <c:pt idx="2">
                  <c:v>22.17</c:v>
                </c:pt>
                <c:pt idx="3">
                  <c:v>21.61</c:v>
                </c:pt>
                <c:pt idx="4">
                  <c:v>20.95</c:v>
                </c:pt>
                <c:pt idx="5">
                  <c:v>20.1999</c:v>
                </c:pt>
                <c:pt idx="6">
                  <c:v>19.470000000000002</c:v>
                </c:pt>
                <c:pt idx="7">
                  <c:v>18.790000000000003</c:v>
                </c:pt>
                <c:pt idx="8">
                  <c:v>18.170000000000002</c:v>
                </c:pt>
                <c:pt idx="9">
                  <c:v>17.580000000000002</c:v>
                </c:pt>
                <c:pt idx="10">
                  <c:v>17.02</c:v>
                </c:pt>
                <c:pt idx="11">
                  <c:v>16.53</c:v>
                </c:pt>
                <c:pt idx="12">
                  <c:v>15.989999999999998</c:v>
                </c:pt>
                <c:pt idx="13">
                  <c:v>15.659999999999998</c:v>
                </c:pt>
                <c:pt idx="14">
                  <c:v>15.440000000000001</c:v>
                </c:pt>
                <c:pt idx="15">
                  <c:v>15.35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8-8B40-B9EA-D4371D8AF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82496"/>
        <c:axId val="178284032"/>
      </c:scatterChart>
      <c:valAx>
        <c:axId val="17828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284032"/>
        <c:crosses val="autoZero"/>
        <c:crossBetween val="midCat"/>
      </c:valAx>
      <c:valAx>
        <c:axId val="17828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28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DANE!$I$2</c:f>
              <c:strCache>
                <c:ptCount val="1"/>
                <c:pt idx="0">
                  <c:v>Stopień wykorzystania bazy noclegowej (%) X6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DANE!$B$3:$B$18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xVal>
          <c:yVal>
            <c:numRef>
              <c:f>DANE!$I$3:$I$18</c:f>
              <c:numCache>
                <c:formatCode>#,##0.00</c:formatCode>
                <c:ptCount val="16"/>
                <c:pt idx="0">
                  <c:v>37.590000000000003</c:v>
                </c:pt>
                <c:pt idx="1">
                  <c:v>35.75</c:v>
                </c:pt>
                <c:pt idx="2">
                  <c:v>34.270000000000003</c:v>
                </c:pt>
                <c:pt idx="3" formatCode="#\ ##0.0">
                  <c:v>34.5</c:v>
                </c:pt>
                <c:pt idx="4" formatCode="#\ ##0.0">
                  <c:v>33.6</c:v>
                </c:pt>
                <c:pt idx="5" formatCode="#\ ##0.0">
                  <c:v>33.799999999999997</c:v>
                </c:pt>
                <c:pt idx="6" formatCode="#\ ##0.0">
                  <c:v>34.799999999999997</c:v>
                </c:pt>
                <c:pt idx="7" formatCode="#\ ##0.0">
                  <c:v>36.700000000000003</c:v>
                </c:pt>
                <c:pt idx="8" formatCode="#\ ##0.0">
                  <c:v>38.1</c:v>
                </c:pt>
                <c:pt idx="9" formatCode="#\ ##0.0">
                  <c:v>39.299999999999997</c:v>
                </c:pt>
                <c:pt idx="10" formatCode="#\ ##0.0">
                  <c:v>40.1</c:v>
                </c:pt>
                <c:pt idx="11" formatCode="#\ ##0.0">
                  <c:v>40.6</c:v>
                </c:pt>
                <c:pt idx="12" formatCode="#\ ##0.0">
                  <c:v>26.8</c:v>
                </c:pt>
                <c:pt idx="13" formatCode="#\ ##0.0">
                  <c:v>32.299999999999997</c:v>
                </c:pt>
                <c:pt idx="14" formatCode="#\ ##0.0">
                  <c:v>40.4</c:v>
                </c:pt>
                <c:pt idx="15" formatCode="#\ ##0.0">
                  <c:v>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D-734A-840E-7782195BA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04896"/>
        <c:axId val="178306432"/>
      </c:scatterChart>
      <c:valAx>
        <c:axId val="17830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306432"/>
        <c:crosses val="autoZero"/>
        <c:crossBetween val="midCat"/>
      </c:valAx>
      <c:valAx>
        <c:axId val="17830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30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'DURBINA-WATSONA'!$C$4</c:f>
              <c:strCache>
                <c:ptCount val="1"/>
                <c:pt idx="0">
                  <c:v>Restauracje i punkty gastronomiczne 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8872047244094494E-2"/>
                  <c:y val="0.35845836978711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'DURBINA-WATSONA'!$C$5:$C$20</c:f>
              <c:numCache>
                <c:formatCode>0.00</c:formatCode>
                <c:ptCount val="16"/>
                <c:pt idx="0">
                  <c:v>13069</c:v>
                </c:pt>
                <c:pt idx="1">
                  <c:v>13305</c:v>
                </c:pt>
                <c:pt idx="2">
                  <c:v>14408</c:v>
                </c:pt>
                <c:pt idx="3">
                  <c:v>13886</c:v>
                </c:pt>
                <c:pt idx="4">
                  <c:v>15137</c:v>
                </c:pt>
                <c:pt idx="5">
                  <c:v>15807</c:v>
                </c:pt>
                <c:pt idx="6">
                  <c:v>17325</c:v>
                </c:pt>
                <c:pt idx="7">
                  <c:v>18611</c:v>
                </c:pt>
                <c:pt idx="8">
                  <c:v>19623</c:v>
                </c:pt>
                <c:pt idx="9">
                  <c:v>19125</c:v>
                </c:pt>
                <c:pt idx="10">
                  <c:v>17700</c:v>
                </c:pt>
                <c:pt idx="11">
                  <c:v>20260</c:v>
                </c:pt>
                <c:pt idx="12">
                  <c:v>17778</c:v>
                </c:pt>
                <c:pt idx="13">
                  <c:v>18789</c:v>
                </c:pt>
                <c:pt idx="14">
                  <c:v>20215</c:v>
                </c:pt>
                <c:pt idx="15">
                  <c:v>22187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1-D942-9D7D-02E9116E7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15936"/>
        <c:axId val="178602752"/>
      </c:scatterChart>
      <c:valAx>
        <c:axId val="17821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02752"/>
        <c:crosses val="autoZero"/>
        <c:crossBetween val="midCat"/>
      </c:valAx>
      <c:valAx>
        <c:axId val="17860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21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RESZTY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'DURBINA-WATSONA'!$H$4</c:f>
              <c:strCache>
                <c:ptCount val="1"/>
                <c:pt idx="0">
                  <c:v>et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'DURBINA-WATSONA'!$H$5:$H$20</c:f>
              <c:numCache>
                <c:formatCode>0.00</c:formatCode>
                <c:ptCount val="16"/>
                <c:pt idx="0">
                  <c:v>-593.28245745922504</c:v>
                </c:pt>
                <c:pt idx="1">
                  <c:v>-649.11052242511505</c:v>
                </c:pt>
                <c:pt idx="2">
                  <c:v>101.207283834794</c:v>
                </c:pt>
                <c:pt idx="3">
                  <c:v>-273.43695554810438</c:v>
                </c:pt>
                <c:pt idx="4">
                  <c:v>623.934869806606</c:v>
                </c:pt>
                <c:pt idx="5">
                  <c:v>-205.81259991641855</c:v>
                </c:pt>
                <c:pt idx="6">
                  <c:v>420.15158575097666</c:v>
                </c:pt>
                <c:pt idx="7">
                  <c:v>573.12915922538377</c:v>
                </c:pt>
                <c:pt idx="8">
                  <c:v>1055.3083754174586</c:v>
                </c:pt>
                <c:pt idx="9">
                  <c:v>740.41845734158414</c:v>
                </c:pt>
                <c:pt idx="10">
                  <c:v>-1793.3050824519523</c:v>
                </c:pt>
                <c:pt idx="11">
                  <c:v>59.045931641790958</c:v>
                </c:pt>
                <c:pt idx="12">
                  <c:v>50.663674585641274</c:v>
                </c:pt>
                <c:pt idx="13">
                  <c:v>-630.84114352917459</c:v>
                </c:pt>
                <c:pt idx="14">
                  <c:v>1016.5567310982333</c:v>
                </c:pt>
                <c:pt idx="15">
                  <c:v>-494.62730737249512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59-914C-B7B9-E0B95538E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40000"/>
        <c:axId val="178641536"/>
      </c:scatterChart>
      <c:valAx>
        <c:axId val="17864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41536"/>
        <c:crosses val="autoZero"/>
        <c:crossBetween val="midCat"/>
      </c:valAx>
      <c:valAx>
        <c:axId val="1786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64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'X1-modele nieliniowe'!$C$5</c:f>
              <c:strCache>
                <c:ptCount val="1"/>
                <c:pt idx="0">
                  <c:v>Średnie dochody miesięczne na osobę (zł)  X1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835083114610689E-2"/>
                  <c:y val="0.410574146981627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'X1-modele nieliniowe'!$C$6:$C$21</c:f>
              <c:numCache>
                <c:formatCode>0.00</c:formatCode>
                <c:ptCount val="16"/>
                <c:pt idx="0">
                  <c:v>3158.48</c:v>
                </c:pt>
                <c:pt idx="1">
                  <c:v>3315.38</c:v>
                </c:pt>
                <c:pt idx="2">
                  <c:v>3435</c:v>
                </c:pt>
                <c:pt idx="3">
                  <c:v>3625.21</c:v>
                </c:pt>
                <c:pt idx="4">
                  <c:v>3744.38</c:v>
                </c:pt>
                <c:pt idx="5">
                  <c:v>3877.43</c:v>
                </c:pt>
                <c:pt idx="6">
                  <c:v>4003.99</c:v>
                </c:pt>
                <c:pt idx="7">
                  <c:v>4150.8599999999997</c:v>
                </c:pt>
                <c:pt idx="8">
                  <c:v>4290.5200000000004</c:v>
                </c:pt>
                <c:pt idx="9">
                  <c:v>4527.8900000000003</c:v>
                </c:pt>
                <c:pt idx="10">
                  <c:v>4834.76</c:v>
                </c:pt>
                <c:pt idx="11">
                  <c:v>5181.63</c:v>
                </c:pt>
                <c:pt idx="12">
                  <c:v>5523.32</c:v>
                </c:pt>
                <c:pt idx="13">
                  <c:v>6001.02</c:v>
                </c:pt>
                <c:pt idx="14">
                  <c:v>6705.62</c:v>
                </c:pt>
                <c:pt idx="15">
                  <c:v>7595.3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0-AB43-BEA4-47F23739F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92832"/>
        <c:axId val="185194368"/>
      </c:scatterChart>
      <c:valAx>
        <c:axId val="18519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194368"/>
        <c:crosses val="autoZero"/>
        <c:crossBetween val="midCat"/>
      </c:valAx>
      <c:valAx>
        <c:axId val="1851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19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'X1-modele nieliniowe'!$C$37</c:f>
              <c:strCache>
                <c:ptCount val="1"/>
                <c:pt idx="0">
                  <c:v>Średnie dochody miesięczne na osobę (zł)  X1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723972003499569E-2"/>
                  <c:y val="0.32261118401866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'X1-modele nieliniowe'!$C$38:$C$53</c:f>
              <c:numCache>
                <c:formatCode>0.00</c:formatCode>
                <c:ptCount val="16"/>
                <c:pt idx="0">
                  <c:v>3158.48</c:v>
                </c:pt>
                <c:pt idx="1">
                  <c:v>3315.38</c:v>
                </c:pt>
                <c:pt idx="2">
                  <c:v>3435</c:v>
                </c:pt>
                <c:pt idx="3">
                  <c:v>3625.21</c:v>
                </c:pt>
                <c:pt idx="4">
                  <c:v>3744.38</c:v>
                </c:pt>
                <c:pt idx="5">
                  <c:v>3877.43</c:v>
                </c:pt>
                <c:pt idx="6">
                  <c:v>4003.99</c:v>
                </c:pt>
                <c:pt idx="7">
                  <c:v>4150.8599999999997</c:v>
                </c:pt>
                <c:pt idx="8">
                  <c:v>4290.5200000000004</c:v>
                </c:pt>
                <c:pt idx="9">
                  <c:v>4527.8900000000003</c:v>
                </c:pt>
                <c:pt idx="10">
                  <c:v>4834.76</c:v>
                </c:pt>
                <c:pt idx="11">
                  <c:v>5181.63</c:v>
                </c:pt>
                <c:pt idx="12">
                  <c:v>5523.32</c:v>
                </c:pt>
                <c:pt idx="13">
                  <c:v>6001.02</c:v>
                </c:pt>
                <c:pt idx="14">
                  <c:v>6705.62</c:v>
                </c:pt>
                <c:pt idx="15">
                  <c:v>7595.3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2-DE4B-B739-245E638F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93536"/>
        <c:axId val="185395072"/>
      </c:scatterChart>
      <c:valAx>
        <c:axId val="18539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395072"/>
        <c:crosses val="autoZero"/>
        <c:crossBetween val="midCat"/>
      </c:valAx>
      <c:valAx>
        <c:axId val="1853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39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'X1-modele nieliniowe'!$D$81</c:f>
              <c:strCache>
                <c:ptCount val="1"/>
                <c:pt idx="0">
                  <c:v>Średnie dochody miesięczne na osobę (zł)  X1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8.4321303587051658E-2"/>
                  <c:y val="0.49032407407407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'X1-modele nieliniowe'!$D$82:$D$97</c:f>
              <c:numCache>
                <c:formatCode>0.00</c:formatCode>
                <c:ptCount val="16"/>
                <c:pt idx="0">
                  <c:v>3158.48</c:v>
                </c:pt>
                <c:pt idx="1">
                  <c:v>3315.38</c:v>
                </c:pt>
                <c:pt idx="2">
                  <c:v>3435</c:v>
                </c:pt>
                <c:pt idx="3">
                  <c:v>3625.21</c:v>
                </c:pt>
                <c:pt idx="4">
                  <c:v>3744.38</c:v>
                </c:pt>
                <c:pt idx="5">
                  <c:v>3877.43</c:v>
                </c:pt>
                <c:pt idx="6">
                  <c:v>4003.99</c:v>
                </c:pt>
                <c:pt idx="7">
                  <c:v>4150.8599999999997</c:v>
                </c:pt>
                <c:pt idx="8">
                  <c:v>4290.5200000000004</c:v>
                </c:pt>
                <c:pt idx="9">
                  <c:v>4527.8900000000003</c:v>
                </c:pt>
                <c:pt idx="10">
                  <c:v>4834.76</c:v>
                </c:pt>
                <c:pt idx="11">
                  <c:v>5181.63</c:v>
                </c:pt>
                <c:pt idx="12">
                  <c:v>5523.32</c:v>
                </c:pt>
                <c:pt idx="13">
                  <c:v>6001.02</c:v>
                </c:pt>
                <c:pt idx="14">
                  <c:v>6705.62</c:v>
                </c:pt>
                <c:pt idx="15">
                  <c:v>7595.3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E-5F42-B58C-74E0BA94C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76448"/>
        <c:axId val="185598720"/>
      </c:scatterChart>
      <c:valAx>
        <c:axId val="18557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598720"/>
        <c:crosses val="autoZero"/>
        <c:crossBetween val="midCat"/>
      </c:valAx>
      <c:valAx>
        <c:axId val="1855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57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'X1-modele nieliniowe'!$C$122</c:f>
              <c:strCache>
                <c:ptCount val="1"/>
                <c:pt idx="0">
                  <c:v>Średnie dochody miesięczne na osobę (zł)  X1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7.0015748031496072E-2"/>
                  <c:y val="0.42249562554680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'X1-modele nieliniowe'!$C$123:$C$138</c:f>
              <c:numCache>
                <c:formatCode>0.00</c:formatCode>
                <c:ptCount val="16"/>
                <c:pt idx="0">
                  <c:v>3158.48</c:v>
                </c:pt>
                <c:pt idx="1">
                  <c:v>3315.38</c:v>
                </c:pt>
                <c:pt idx="2">
                  <c:v>3435</c:v>
                </c:pt>
                <c:pt idx="3">
                  <c:v>3625.21</c:v>
                </c:pt>
                <c:pt idx="4">
                  <c:v>3744.38</c:v>
                </c:pt>
                <c:pt idx="5">
                  <c:v>3877.43</c:v>
                </c:pt>
                <c:pt idx="6">
                  <c:v>4003.99</c:v>
                </c:pt>
                <c:pt idx="7">
                  <c:v>4150.8599999999997</c:v>
                </c:pt>
                <c:pt idx="8">
                  <c:v>4290.5200000000004</c:v>
                </c:pt>
                <c:pt idx="9">
                  <c:v>4527.8900000000003</c:v>
                </c:pt>
                <c:pt idx="10">
                  <c:v>4834.76</c:v>
                </c:pt>
                <c:pt idx="11">
                  <c:v>5181.63</c:v>
                </c:pt>
                <c:pt idx="12">
                  <c:v>5523.32</c:v>
                </c:pt>
                <c:pt idx="13">
                  <c:v>6001.02</c:v>
                </c:pt>
                <c:pt idx="14">
                  <c:v>6705.62</c:v>
                </c:pt>
                <c:pt idx="15">
                  <c:v>7595.3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77-BA46-967F-AF047B9B6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22752"/>
        <c:axId val="185724288"/>
      </c:scatterChart>
      <c:valAx>
        <c:axId val="18572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24288"/>
        <c:crosses val="autoZero"/>
        <c:crossBetween val="midCat"/>
      </c:valAx>
      <c:valAx>
        <c:axId val="1857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72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'X1-modele nieliniowe'!$C$162</c:f>
              <c:strCache>
                <c:ptCount val="1"/>
                <c:pt idx="0">
                  <c:v>Średnie dochody miesięczne na osobę (zł)  X1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9696412948381484E-2"/>
                  <c:y val="0.345978783902012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'X1-modele nieliniowe'!$C$163:$C$178</c:f>
              <c:numCache>
                <c:formatCode>0.00</c:formatCode>
                <c:ptCount val="16"/>
                <c:pt idx="0">
                  <c:v>3158.48</c:v>
                </c:pt>
                <c:pt idx="1">
                  <c:v>3315.38</c:v>
                </c:pt>
                <c:pt idx="2">
                  <c:v>3435</c:v>
                </c:pt>
                <c:pt idx="3">
                  <c:v>3625.21</c:v>
                </c:pt>
                <c:pt idx="4">
                  <c:v>3744.38</c:v>
                </c:pt>
                <c:pt idx="5">
                  <c:v>3877.43</c:v>
                </c:pt>
                <c:pt idx="6">
                  <c:v>4003.99</c:v>
                </c:pt>
                <c:pt idx="7">
                  <c:v>4150.8599999999997</c:v>
                </c:pt>
                <c:pt idx="8">
                  <c:v>4290.5200000000004</c:v>
                </c:pt>
                <c:pt idx="9">
                  <c:v>4527.8900000000003</c:v>
                </c:pt>
                <c:pt idx="10">
                  <c:v>4834.76</c:v>
                </c:pt>
                <c:pt idx="11">
                  <c:v>5181.63</c:v>
                </c:pt>
                <c:pt idx="12">
                  <c:v>5523.32</c:v>
                </c:pt>
                <c:pt idx="13">
                  <c:v>6001.02</c:v>
                </c:pt>
                <c:pt idx="14">
                  <c:v>6705.62</c:v>
                </c:pt>
                <c:pt idx="15">
                  <c:v>7595.3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D4-B645-BCF2-9BC50B45D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93632"/>
        <c:axId val="185895168"/>
      </c:scatterChart>
      <c:valAx>
        <c:axId val="18589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895168"/>
        <c:crosses val="autoZero"/>
        <c:crossBetween val="midCat"/>
      </c:valAx>
      <c:valAx>
        <c:axId val="18589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8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'X3-modele nieliniowe'!$C$5</c:f>
              <c:strCache>
                <c:ptCount val="1"/>
                <c:pt idx="0">
                  <c:v>Wskaźnik inflacji (CPI) X3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4702099737532838E-2"/>
                  <c:y val="-0.259617964421113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'X3-modele nieliniowe'!$C$6:$C$21</c:f>
              <c:numCache>
                <c:formatCode>0.00</c:formatCode>
                <c:ptCount val="16"/>
                <c:pt idx="0">
                  <c:v>104.2</c:v>
                </c:pt>
                <c:pt idx="1">
                  <c:v>103.5</c:v>
                </c:pt>
                <c:pt idx="2">
                  <c:v>102.6</c:v>
                </c:pt>
                <c:pt idx="3">
                  <c:v>104.3</c:v>
                </c:pt>
                <c:pt idx="4">
                  <c:v>103.7</c:v>
                </c:pt>
                <c:pt idx="5">
                  <c:v>100.9</c:v>
                </c:pt>
                <c:pt idx="6">
                  <c:v>100</c:v>
                </c:pt>
                <c:pt idx="7">
                  <c:v>99.1</c:v>
                </c:pt>
                <c:pt idx="8">
                  <c:v>99.4</c:v>
                </c:pt>
                <c:pt idx="9">
                  <c:v>102</c:v>
                </c:pt>
                <c:pt idx="10">
                  <c:v>101.6</c:v>
                </c:pt>
                <c:pt idx="11">
                  <c:v>102.3</c:v>
                </c:pt>
                <c:pt idx="12">
                  <c:v>103.4</c:v>
                </c:pt>
                <c:pt idx="13">
                  <c:v>105.1</c:v>
                </c:pt>
                <c:pt idx="14">
                  <c:v>114.4</c:v>
                </c:pt>
                <c:pt idx="15">
                  <c:v>111.4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A-DF48-83CE-7353BBE46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11936"/>
        <c:axId val="186057088"/>
      </c:scatterChart>
      <c:valAx>
        <c:axId val="18591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057088"/>
        <c:crosses val="autoZero"/>
        <c:crossBetween val="midCat"/>
      </c:valAx>
      <c:valAx>
        <c:axId val="1860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91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'X3-modele nieliniowe'!$C$39</c:f>
              <c:strCache>
                <c:ptCount val="1"/>
                <c:pt idx="0">
                  <c:v>Wskaźnik inflacji (CPI) X3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67118407558644E-2"/>
                  <c:y val="-0.271277479273189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'X3-modele nieliniowe'!$C$40:$C$55</c:f>
              <c:numCache>
                <c:formatCode>0.00</c:formatCode>
                <c:ptCount val="16"/>
                <c:pt idx="0">
                  <c:v>104.2</c:v>
                </c:pt>
                <c:pt idx="1">
                  <c:v>103.5</c:v>
                </c:pt>
                <c:pt idx="2">
                  <c:v>102.6</c:v>
                </c:pt>
                <c:pt idx="3">
                  <c:v>104.3</c:v>
                </c:pt>
                <c:pt idx="4">
                  <c:v>103.7</c:v>
                </c:pt>
                <c:pt idx="5">
                  <c:v>100.9</c:v>
                </c:pt>
                <c:pt idx="6">
                  <c:v>100</c:v>
                </c:pt>
                <c:pt idx="7">
                  <c:v>99.1</c:v>
                </c:pt>
                <c:pt idx="8">
                  <c:v>99.4</c:v>
                </c:pt>
                <c:pt idx="9">
                  <c:v>102</c:v>
                </c:pt>
                <c:pt idx="10">
                  <c:v>101.6</c:v>
                </c:pt>
                <c:pt idx="11">
                  <c:v>102.3</c:v>
                </c:pt>
                <c:pt idx="12">
                  <c:v>103.4</c:v>
                </c:pt>
                <c:pt idx="13">
                  <c:v>105.1</c:v>
                </c:pt>
                <c:pt idx="14">
                  <c:v>114.4</c:v>
                </c:pt>
                <c:pt idx="15">
                  <c:v>111.4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F-6A4F-A500-DFDD99D67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47808"/>
        <c:axId val="186249600"/>
      </c:scatterChart>
      <c:valAx>
        <c:axId val="18624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249600"/>
        <c:crosses val="autoZero"/>
        <c:crossBetween val="midCat"/>
      </c:valAx>
      <c:valAx>
        <c:axId val="1862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24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'X3-modele nieliniowe'!$D$82</c:f>
              <c:strCache>
                <c:ptCount val="1"/>
                <c:pt idx="0">
                  <c:v>Wskaźnik inflacji (CPI) X3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5.7493657042869663E-2"/>
                  <c:y val="-7.46117672790901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'X3-modele nieliniowe'!$D$83:$D$98</c:f>
              <c:numCache>
                <c:formatCode>0.00</c:formatCode>
                <c:ptCount val="16"/>
                <c:pt idx="0">
                  <c:v>104.2</c:v>
                </c:pt>
                <c:pt idx="1">
                  <c:v>103.5</c:v>
                </c:pt>
                <c:pt idx="2">
                  <c:v>102.6</c:v>
                </c:pt>
                <c:pt idx="3">
                  <c:v>104.3</c:v>
                </c:pt>
                <c:pt idx="4">
                  <c:v>103.7</c:v>
                </c:pt>
                <c:pt idx="5">
                  <c:v>100.9</c:v>
                </c:pt>
                <c:pt idx="6">
                  <c:v>100</c:v>
                </c:pt>
                <c:pt idx="7">
                  <c:v>99.1</c:v>
                </c:pt>
                <c:pt idx="8">
                  <c:v>99.4</c:v>
                </c:pt>
                <c:pt idx="9">
                  <c:v>102</c:v>
                </c:pt>
                <c:pt idx="10">
                  <c:v>101.6</c:v>
                </c:pt>
                <c:pt idx="11">
                  <c:v>102.3</c:v>
                </c:pt>
                <c:pt idx="12">
                  <c:v>103.4</c:v>
                </c:pt>
                <c:pt idx="13">
                  <c:v>105.1</c:v>
                </c:pt>
                <c:pt idx="14">
                  <c:v>114.4</c:v>
                </c:pt>
                <c:pt idx="15">
                  <c:v>111.4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1-9147-8259-D5BE433B0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63744"/>
        <c:axId val="186465280"/>
      </c:scatterChart>
      <c:valAx>
        <c:axId val="18646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465280"/>
        <c:crosses val="autoZero"/>
        <c:crossBetween val="midCat"/>
      </c:valAx>
      <c:valAx>
        <c:axId val="1864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46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'X3-modele nieliniowe'!$C$120</c:f>
              <c:strCache>
                <c:ptCount val="1"/>
                <c:pt idx="0">
                  <c:v>Wskaźnik inflacji (CPI) X3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2291032370953632"/>
                  <c:y val="-0.298195902595508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'X3-modele nieliniowe'!$C$121:$C$136</c:f>
              <c:numCache>
                <c:formatCode>0.00</c:formatCode>
                <c:ptCount val="16"/>
                <c:pt idx="0">
                  <c:v>104.2</c:v>
                </c:pt>
                <c:pt idx="1">
                  <c:v>103.5</c:v>
                </c:pt>
                <c:pt idx="2">
                  <c:v>102.6</c:v>
                </c:pt>
                <c:pt idx="3">
                  <c:v>104.3</c:v>
                </c:pt>
                <c:pt idx="4">
                  <c:v>103.7</c:v>
                </c:pt>
                <c:pt idx="5">
                  <c:v>100.9</c:v>
                </c:pt>
                <c:pt idx="6">
                  <c:v>100</c:v>
                </c:pt>
                <c:pt idx="7">
                  <c:v>99.1</c:v>
                </c:pt>
                <c:pt idx="8">
                  <c:v>99.4</c:v>
                </c:pt>
                <c:pt idx="9">
                  <c:v>102</c:v>
                </c:pt>
                <c:pt idx="10">
                  <c:v>101.6</c:v>
                </c:pt>
                <c:pt idx="11">
                  <c:v>102.3</c:v>
                </c:pt>
                <c:pt idx="12">
                  <c:v>103.4</c:v>
                </c:pt>
                <c:pt idx="13">
                  <c:v>105.1</c:v>
                </c:pt>
                <c:pt idx="14">
                  <c:v>114.4</c:v>
                </c:pt>
                <c:pt idx="15">
                  <c:v>111.4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C-9949-A1A3-96880A0B7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40416"/>
        <c:axId val="186541952"/>
      </c:scatterChart>
      <c:valAx>
        <c:axId val="18654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541952"/>
        <c:crosses val="autoZero"/>
        <c:crossBetween val="midCat"/>
      </c:valAx>
      <c:valAx>
        <c:axId val="18654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54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'X3-modele nieliniowe'!$C$159</c:f>
              <c:strCache>
                <c:ptCount val="1"/>
                <c:pt idx="0">
                  <c:v>Wskaźnik inflacji (CPI) X3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834076990376202"/>
                  <c:y val="-0.35068496646252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'X3-modele nieliniowe'!$C$160:$C$175</c:f>
              <c:numCache>
                <c:formatCode>0.00</c:formatCode>
                <c:ptCount val="16"/>
                <c:pt idx="0">
                  <c:v>104.2</c:v>
                </c:pt>
                <c:pt idx="1">
                  <c:v>103.5</c:v>
                </c:pt>
                <c:pt idx="2">
                  <c:v>102.6</c:v>
                </c:pt>
                <c:pt idx="3">
                  <c:v>104.3</c:v>
                </c:pt>
                <c:pt idx="4">
                  <c:v>103.7</c:v>
                </c:pt>
                <c:pt idx="5">
                  <c:v>100.9</c:v>
                </c:pt>
                <c:pt idx="6">
                  <c:v>100</c:v>
                </c:pt>
                <c:pt idx="7">
                  <c:v>99.1</c:v>
                </c:pt>
                <c:pt idx="8">
                  <c:v>99.4</c:v>
                </c:pt>
                <c:pt idx="9">
                  <c:v>102</c:v>
                </c:pt>
                <c:pt idx="10">
                  <c:v>101.6</c:v>
                </c:pt>
                <c:pt idx="11">
                  <c:v>102.3</c:v>
                </c:pt>
                <c:pt idx="12">
                  <c:v>103.4</c:v>
                </c:pt>
                <c:pt idx="13">
                  <c:v>105.1</c:v>
                </c:pt>
                <c:pt idx="14">
                  <c:v>114.4</c:v>
                </c:pt>
                <c:pt idx="15">
                  <c:v>111.4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35-1245-95DF-E1C0DC6E8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41408"/>
        <c:axId val="186643200"/>
      </c:scatterChart>
      <c:valAx>
        <c:axId val="18664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643200"/>
        <c:crosses val="autoZero"/>
        <c:crossBetween val="midCat"/>
      </c:valAx>
      <c:valAx>
        <c:axId val="1866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64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'X6-modele nieliniowe'!$C$5</c:f>
              <c:strCache>
                <c:ptCount val="1"/>
                <c:pt idx="0">
                  <c:v>Stopień wykorzystania bazy noclegowej (%) X6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038713910761171E-2"/>
                  <c:y val="0.435433799941674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'X6-modele nieliniowe'!$C$6:$C$21</c:f>
              <c:numCache>
                <c:formatCode>#,##0.00</c:formatCode>
                <c:ptCount val="16"/>
                <c:pt idx="0">
                  <c:v>37.590000000000003</c:v>
                </c:pt>
                <c:pt idx="1">
                  <c:v>35.75</c:v>
                </c:pt>
                <c:pt idx="2">
                  <c:v>34.270000000000003</c:v>
                </c:pt>
                <c:pt idx="3" formatCode="#\ ##0.0">
                  <c:v>34.5</c:v>
                </c:pt>
                <c:pt idx="4" formatCode="#\ ##0.0">
                  <c:v>33.6</c:v>
                </c:pt>
                <c:pt idx="5" formatCode="#\ ##0.0">
                  <c:v>33.799999999999997</c:v>
                </c:pt>
                <c:pt idx="6" formatCode="#\ ##0.0">
                  <c:v>34.799999999999997</c:v>
                </c:pt>
                <c:pt idx="7" formatCode="#\ ##0.0">
                  <c:v>36.700000000000003</c:v>
                </c:pt>
                <c:pt idx="8" formatCode="#\ ##0.0">
                  <c:v>38.1</c:v>
                </c:pt>
                <c:pt idx="9" formatCode="#\ ##0.0">
                  <c:v>39.299999999999997</c:v>
                </c:pt>
                <c:pt idx="10" formatCode="#\ ##0.0">
                  <c:v>40.1</c:v>
                </c:pt>
                <c:pt idx="11" formatCode="#\ ##0.0">
                  <c:v>40.6</c:v>
                </c:pt>
                <c:pt idx="12" formatCode="#\ ##0.0">
                  <c:v>40.5</c:v>
                </c:pt>
                <c:pt idx="13" formatCode="#\ ##0.0">
                  <c:v>40.5</c:v>
                </c:pt>
                <c:pt idx="14" formatCode="#\ ##0.0">
                  <c:v>40.4</c:v>
                </c:pt>
                <c:pt idx="15" formatCode="#\ ##0.0">
                  <c:v>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FB-254C-921C-94F98E620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68864"/>
        <c:axId val="186870400"/>
      </c:scatterChart>
      <c:valAx>
        <c:axId val="18686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870400"/>
        <c:crosses val="autoZero"/>
        <c:crossBetween val="midCat"/>
      </c:valAx>
      <c:valAx>
        <c:axId val="18687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86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'X6-modele nieliniowe'!$C$37</c:f>
              <c:strCache>
                <c:ptCount val="1"/>
                <c:pt idx="0">
                  <c:v>Stopień wykorzystania bazy noclegowej (%) X6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594269466316713E-2"/>
                  <c:y val="0.3983967629046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'X6-modele nieliniowe'!$C$38:$C$53</c:f>
              <c:numCache>
                <c:formatCode>#,##0.00</c:formatCode>
                <c:ptCount val="16"/>
                <c:pt idx="0">
                  <c:v>37.590000000000003</c:v>
                </c:pt>
                <c:pt idx="1">
                  <c:v>35.75</c:v>
                </c:pt>
                <c:pt idx="2">
                  <c:v>34.270000000000003</c:v>
                </c:pt>
                <c:pt idx="3" formatCode="#\ ##0.0">
                  <c:v>34.5</c:v>
                </c:pt>
                <c:pt idx="4" formatCode="#\ ##0.0">
                  <c:v>33.6</c:v>
                </c:pt>
                <c:pt idx="5" formatCode="#\ ##0.0">
                  <c:v>33.799999999999997</c:v>
                </c:pt>
                <c:pt idx="6" formatCode="#\ ##0.0">
                  <c:v>34.799999999999997</c:v>
                </c:pt>
                <c:pt idx="7" formatCode="#\ ##0.0">
                  <c:v>36.700000000000003</c:v>
                </c:pt>
                <c:pt idx="8" formatCode="#\ ##0.0">
                  <c:v>38.1</c:v>
                </c:pt>
                <c:pt idx="9" formatCode="#\ ##0.0">
                  <c:v>39.299999999999997</c:v>
                </c:pt>
                <c:pt idx="10" formatCode="#\ ##0.0">
                  <c:v>40.1</c:v>
                </c:pt>
                <c:pt idx="11" formatCode="#\ ##0.0">
                  <c:v>40.6</c:v>
                </c:pt>
                <c:pt idx="12" formatCode="#\ ##0.0">
                  <c:v>40.5</c:v>
                </c:pt>
                <c:pt idx="13" formatCode="#\ ##0.0">
                  <c:v>40.5</c:v>
                </c:pt>
                <c:pt idx="14" formatCode="#\ ##0.0">
                  <c:v>40.4</c:v>
                </c:pt>
                <c:pt idx="15" formatCode="#\ ##0.0">
                  <c:v>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88-8546-BD0A-AB719057C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40896"/>
        <c:axId val="187042432"/>
      </c:scatterChart>
      <c:valAx>
        <c:axId val="18704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042432"/>
        <c:crosses val="autoZero"/>
        <c:crossBetween val="midCat"/>
      </c:valAx>
      <c:valAx>
        <c:axId val="1870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04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'X6-modele nieliniowe'!$D$78</c:f>
              <c:strCache>
                <c:ptCount val="1"/>
                <c:pt idx="0">
                  <c:v>Stopień wykorzystania bazy noclegowej (%) X6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3.2802712160979894E-2"/>
                  <c:y val="0.368036964129483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'X6-modele nieliniowe'!$D$79:$D$94</c:f>
              <c:numCache>
                <c:formatCode>#,##0.00</c:formatCode>
                <c:ptCount val="16"/>
                <c:pt idx="0">
                  <c:v>37.590000000000003</c:v>
                </c:pt>
                <c:pt idx="1">
                  <c:v>35.75</c:v>
                </c:pt>
                <c:pt idx="2">
                  <c:v>34.270000000000003</c:v>
                </c:pt>
                <c:pt idx="3" formatCode="#\ ##0.0">
                  <c:v>34.5</c:v>
                </c:pt>
                <c:pt idx="4" formatCode="#\ ##0.0">
                  <c:v>33.6</c:v>
                </c:pt>
                <c:pt idx="5" formatCode="#\ ##0.0">
                  <c:v>33.799999999999997</c:v>
                </c:pt>
                <c:pt idx="6" formatCode="#\ ##0.0">
                  <c:v>34.799999999999997</c:v>
                </c:pt>
                <c:pt idx="7" formatCode="#\ ##0.0">
                  <c:v>36.700000000000003</c:v>
                </c:pt>
                <c:pt idx="8" formatCode="#\ ##0.0">
                  <c:v>38.1</c:v>
                </c:pt>
                <c:pt idx="9" formatCode="#\ ##0.0">
                  <c:v>39.299999999999997</c:v>
                </c:pt>
                <c:pt idx="10" formatCode="#\ ##0.0">
                  <c:v>40.1</c:v>
                </c:pt>
                <c:pt idx="11" formatCode="#\ ##0.0">
                  <c:v>40.6</c:v>
                </c:pt>
                <c:pt idx="12" formatCode="#\ ##0.0">
                  <c:v>40.5</c:v>
                </c:pt>
                <c:pt idx="13" formatCode="#\ ##0.0">
                  <c:v>40.5</c:v>
                </c:pt>
                <c:pt idx="14" formatCode="#\ ##0.0">
                  <c:v>40.4</c:v>
                </c:pt>
                <c:pt idx="15" formatCode="#\ ##0.0">
                  <c:v>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66-944B-9EE8-A7EDE17D4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40448"/>
        <c:axId val="187241984"/>
      </c:scatterChart>
      <c:valAx>
        <c:axId val="18724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241984"/>
        <c:crosses val="autoZero"/>
        <c:crossBetween val="midCat"/>
      </c:valAx>
      <c:valAx>
        <c:axId val="18724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24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'X6-modele nieliniowe'!$C$118</c:f>
              <c:strCache>
                <c:ptCount val="1"/>
                <c:pt idx="0">
                  <c:v>Stopień wykorzystania bazy noclegowej (%) X6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2.0163823272090989E-2"/>
                  <c:y val="0.32652376786235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'X6-modele nieliniowe'!$C$119:$C$134</c:f>
              <c:numCache>
                <c:formatCode>#,##0.00</c:formatCode>
                <c:ptCount val="16"/>
                <c:pt idx="0">
                  <c:v>37.590000000000003</c:v>
                </c:pt>
                <c:pt idx="1">
                  <c:v>35.75</c:v>
                </c:pt>
                <c:pt idx="2">
                  <c:v>34.270000000000003</c:v>
                </c:pt>
                <c:pt idx="3" formatCode="#\ ##0.0">
                  <c:v>34.5</c:v>
                </c:pt>
                <c:pt idx="4" formatCode="#\ ##0.0">
                  <c:v>33.6</c:v>
                </c:pt>
                <c:pt idx="5" formatCode="#\ ##0.0">
                  <c:v>33.799999999999997</c:v>
                </c:pt>
                <c:pt idx="6" formatCode="#\ ##0.0">
                  <c:v>34.799999999999997</c:v>
                </c:pt>
                <c:pt idx="7" formatCode="#\ ##0.0">
                  <c:v>36.700000000000003</c:v>
                </c:pt>
                <c:pt idx="8" formatCode="#\ ##0.0">
                  <c:v>38.1</c:v>
                </c:pt>
                <c:pt idx="9" formatCode="#\ ##0.0">
                  <c:v>39.299999999999997</c:v>
                </c:pt>
                <c:pt idx="10" formatCode="#\ ##0.0">
                  <c:v>40.1</c:v>
                </c:pt>
                <c:pt idx="11" formatCode="#\ ##0.0">
                  <c:v>40.6</c:v>
                </c:pt>
                <c:pt idx="12" formatCode="#\ ##0.0">
                  <c:v>40.5</c:v>
                </c:pt>
                <c:pt idx="13" formatCode="#\ ##0.0">
                  <c:v>40.5</c:v>
                </c:pt>
                <c:pt idx="14" formatCode="#\ ##0.0">
                  <c:v>40.4</c:v>
                </c:pt>
                <c:pt idx="15" formatCode="#\ ##0.0">
                  <c:v>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C9-F34B-9151-DDDCB1436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12768"/>
        <c:axId val="187326848"/>
      </c:scatterChart>
      <c:valAx>
        <c:axId val="18731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326848"/>
        <c:crosses val="autoZero"/>
        <c:crossBetween val="midCat"/>
      </c:valAx>
      <c:valAx>
        <c:axId val="18732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31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'X6-modele nieliniowe'!$C$158</c:f>
              <c:strCache>
                <c:ptCount val="1"/>
                <c:pt idx="0">
                  <c:v>Stopień wykorzystania bazy noclegowej (%) X6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2511154855643044E-2"/>
                  <c:y val="0.414452828813065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yVal>
            <c:numRef>
              <c:f>'X6-modele nieliniowe'!$C$159:$C$174</c:f>
              <c:numCache>
                <c:formatCode>#,##0.00</c:formatCode>
                <c:ptCount val="16"/>
                <c:pt idx="0">
                  <c:v>37.590000000000003</c:v>
                </c:pt>
                <c:pt idx="1">
                  <c:v>35.75</c:v>
                </c:pt>
                <c:pt idx="2">
                  <c:v>34.270000000000003</c:v>
                </c:pt>
                <c:pt idx="3" formatCode="#\ ##0.0">
                  <c:v>34.5</c:v>
                </c:pt>
                <c:pt idx="4" formatCode="#\ ##0.0">
                  <c:v>33.6</c:v>
                </c:pt>
                <c:pt idx="5" formatCode="#\ ##0.0">
                  <c:v>33.799999999999997</c:v>
                </c:pt>
                <c:pt idx="6" formatCode="#\ ##0.0">
                  <c:v>34.799999999999997</c:v>
                </c:pt>
                <c:pt idx="7" formatCode="#\ ##0.0">
                  <c:v>36.700000000000003</c:v>
                </c:pt>
                <c:pt idx="8" formatCode="#\ ##0.0">
                  <c:v>38.1</c:v>
                </c:pt>
                <c:pt idx="9" formatCode="#\ ##0.0">
                  <c:v>39.299999999999997</c:v>
                </c:pt>
                <c:pt idx="10" formatCode="#\ ##0.0">
                  <c:v>40.1</c:v>
                </c:pt>
                <c:pt idx="11" formatCode="#\ ##0.0">
                  <c:v>40.6</c:v>
                </c:pt>
                <c:pt idx="12" formatCode="#\ ##0.0">
                  <c:v>40.5</c:v>
                </c:pt>
                <c:pt idx="13" formatCode="#\ ##0.0">
                  <c:v>40.5</c:v>
                </c:pt>
                <c:pt idx="14" formatCode="#\ ##0.0">
                  <c:v>40.4</c:v>
                </c:pt>
                <c:pt idx="15" formatCode="#\ ##0.0">
                  <c:v>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01-FD47-85C0-E3DFE719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30400"/>
        <c:axId val="187431936"/>
      </c:scatterChart>
      <c:valAx>
        <c:axId val="18743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431936"/>
        <c:crosses val="autoZero"/>
        <c:crossBetween val="midCat"/>
      </c:valAx>
      <c:valAx>
        <c:axId val="1874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743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69850</xdr:colOff>
      <xdr:row>1</xdr:row>
      <xdr:rowOff>774700</xdr:rowOff>
    </xdr:from>
    <xdr:to>
      <xdr:col>15</xdr:col>
      <xdr:colOff>450850</xdr:colOff>
      <xdr:row>11</xdr:row>
      <xdr:rowOff>165100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BD208DA-3764-8B32-AF62-5FA181DD2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82550</xdr:colOff>
      <xdr:row>11</xdr:row>
      <xdr:rowOff>190500</xdr:rowOff>
    </xdr:from>
    <xdr:to>
      <xdr:col>15</xdr:col>
      <xdr:colOff>463550</xdr:colOff>
      <xdr:row>22</xdr:row>
      <xdr:rowOff>63500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C883614-BE25-7197-0334-3541DDBFC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95250</xdr:colOff>
      <xdr:row>22</xdr:row>
      <xdr:rowOff>63500</xdr:rowOff>
    </xdr:from>
    <xdr:to>
      <xdr:col>15</xdr:col>
      <xdr:colOff>476250</xdr:colOff>
      <xdr:row>32</xdr:row>
      <xdr:rowOff>152400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7AF2F88-6A20-85E5-1B66-E946193B2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438150</xdr:colOff>
      <xdr:row>1</xdr:row>
      <xdr:rowOff>774700</xdr:rowOff>
    </xdr:from>
    <xdr:to>
      <xdr:col>20</xdr:col>
      <xdr:colOff>819150</xdr:colOff>
      <xdr:row>11</xdr:row>
      <xdr:rowOff>165100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069765F-99C7-22DD-12BF-9C4FBD999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450850</xdr:colOff>
      <xdr:row>11</xdr:row>
      <xdr:rowOff>190500</xdr:rowOff>
    </xdr:from>
    <xdr:to>
      <xdr:col>20</xdr:col>
      <xdr:colOff>831850</xdr:colOff>
      <xdr:row>22</xdr:row>
      <xdr:rowOff>63500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E1AD10EA-E15B-7D49-94A0-01A0832BA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450850</xdr:colOff>
      <xdr:row>22</xdr:row>
      <xdr:rowOff>63500</xdr:rowOff>
    </xdr:from>
    <xdr:to>
      <xdr:col>20</xdr:col>
      <xdr:colOff>831850</xdr:colOff>
      <xdr:row>32</xdr:row>
      <xdr:rowOff>152400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7D86E6CC-174C-AF09-E5A0-8CA0B0C9E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800100</xdr:colOff>
      <xdr:row>10</xdr:row>
      <xdr:rowOff>76200</xdr:rowOff>
    </xdr:from>
    <xdr:to>
      <xdr:col>44</xdr:col>
      <xdr:colOff>665480</xdr:colOff>
      <xdr:row>12</xdr:row>
      <xdr:rowOff>175895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2F348BF7-B7F8-4544-A092-07A5BD7A2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84900" y="3225800"/>
          <a:ext cx="5745480" cy="5060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15341</xdr:colOff>
      <xdr:row>5</xdr:row>
      <xdr:rowOff>100140</xdr:rowOff>
    </xdr:from>
    <xdr:to>
      <xdr:col>21</xdr:col>
      <xdr:colOff>477261</xdr:colOff>
      <xdr:row>18</xdr:row>
      <xdr:rowOff>201739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1885327-F8B3-B63B-6A2A-68A553600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8710</xdr:colOff>
      <xdr:row>19</xdr:row>
      <xdr:rowOff>14610</xdr:rowOff>
    </xdr:from>
    <xdr:to>
      <xdr:col>21</xdr:col>
      <xdr:colOff>453210</xdr:colOff>
      <xdr:row>32</xdr:row>
      <xdr:rowOff>104072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C92FAE7-8230-FFAF-1C2E-CBB994C22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15312</xdr:colOff>
      <xdr:row>0</xdr:row>
      <xdr:rowOff>179822</xdr:rowOff>
    </xdr:from>
    <xdr:to>
      <xdr:col>30</xdr:col>
      <xdr:colOff>129269</xdr:colOff>
      <xdr:row>39</xdr:row>
      <xdr:rowOff>4675</xdr:rowOff>
    </xdr:to>
    <xdr:pic>
      <xdr:nvPicPr>
        <xdr:cNvPr id="4" name="Obraz 3" descr="Tablice rozkładu Durbina-Watsona - Pobierz pdf z Docer.pl">
          <a:extLst>
            <a:ext uri="{FF2B5EF4-FFF2-40B4-BE49-F238E27FC236}">
              <a16:creationId xmlns:a16="http://schemas.microsoft.com/office/drawing/2014/main" id="{E81FAE29-59CE-5642-B1A6-F0038012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04516" y="179822"/>
          <a:ext cx="6857319" cy="8636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3</xdr:row>
      <xdr:rowOff>177800</xdr:rowOff>
    </xdr:from>
    <xdr:to>
      <xdr:col>14</xdr:col>
      <xdr:colOff>76200</xdr:colOff>
      <xdr:row>12</xdr:row>
      <xdr:rowOff>190500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A0CCF27-3B64-4750-D4CA-49CAA7C49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6</xdr:col>
      <xdr:colOff>345702</xdr:colOff>
      <xdr:row>25</xdr:row>
      <xdr:rowOff>195188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rostokąt 2">
              <a:extLst>
                <a:ext uri="{FF2B5EF4-FFF2-40B4-BE49-F238E27FC236}">
                  <a16:creationId xmlns:a16="http://schemas.microsoft.com/office/drawing/2014/main" id="{53119A8E-353E-404F-AC75-5DADE3812817}"/>
                </a:ext>
              </a:extLst>
            </xdr:cNvPr>
            <xdr:cNvSpPr/>
          </xdr:nvSpPr>
          <xdr:spPr>
            <a:xfrm>
              <a:off x="825500" y="6007100"/>
              <a:ext cx="4473202" cy="39838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000" b="1">
                  <a:ea typeface="Cambria Math" panose="02040503050406030204" pitchFamily="18" charset="0"/>
                </a:rPr>
                <a:t>X</a:t>
              </a:r>
              <a:r>
                <a:rPr lang="pl-PL" sz="2000" b="1" baseline="-25000">
                  <a:ea typeface="Cambria Math" panose="02040503050406030204" pitchFamily="18" charset="0"/>
                </a:rPr>
                <a:t>1</a:t>
              </a:r>
              <a14:m>
                <m:oMath xmlns:m="http://schemas.openxmlformats.org/officeDocument/2006/math"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𝟐𝟒𝟔𝟕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𝟎𝟏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𝟐𝟓𝟑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𝟔𝟕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𝒕</m:t>
                  </m:r>
                </m:oMath>
              </a14:m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Prostokąt 2">
              <a:extLst>
                <a:ext uri="{FF2B5EF4-FFF2-40B4-BE49-F238E27FC236}">
                  <a16:creationId xmlns:a16="http://schemas.microsoft.com/office/drawing/2014/main" xmlns="" xmlns:a14="http://schemas.microsoft.com/office/drawing/2010/main" id="{53119A8E-353E-404F-AC75-5DADE3812817}"/>
                </a:ext>
              </a:extLst>
            </xdr:cNvPr>
            <xdr:cNvSpPr/>
          </xdr:nvSpPr>
          <xdr:spPr>
            <a:xfrm>
              <a:off x="825500" y="6007100"/>
              <a:ext cx="4473202" cy="39838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000" b="1">
                  <a:ea typeface="Cambria Math" panose="02040503050406030204" pitchFamily="18" charset="0"/>
                </a:rPr>
                <a:t>X</a:t>
              </a:r>
              <a:r>
                <a:rPr lang="pl-PL" sz="2000" b="1" baseline="-25000">
                  <a:ea typeface="Cambria Math" panose="02040503050406030204" pitchFamily="18" charset="0"/>
                </a:rPr>
                <a:t>1</a:t>
              </a:r>
              <a:r>
                <a:rPr lang="pl-PL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=𝟐𝟒𝟔𝟕,𝟎𝟏+𝟐𝟓𝟑,𝟔𝟕𝒕</a:t>
              </a:r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8</xdr:col>
      <xdr:colOff>495300</xdr:colOff>
      <xdr:row>34</xdr:row>
      <xdr:rowOff>165100</xdr:rowOff>
    </xdr:from>
    <xdr:to>
      <xdr:col>14</xdr:col>
      <xdr:colOff>114300</xdr:colOff>
      <xdr:row>43</xdr:row>
      <xdr:rowOff>165100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436FC2D-54C7-E4B2-187F-27824664B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59</xdr:row>
      <xdr:rowOff>0</xdr:rowOff>
    </xdr:from>
    <xdr:to>
      <xdr:col>9</xdr:col>
      <xdr:colOff>754083</xdr:colOff>
      <xdr:row>61</xdr:row>
      <xdr:rowOff>65139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Prostokąt 4">
              <a:extLst>
                <a:ext uri="{FF2B5EF4-FFF2-40B4-BE49-F238E27FC236}">
                  <a16:creationId xmlns:a16="http://schemas.microsoft.com/office/drawing/2014/main" id="{F5FAEB3E-EE9A-DE49-8098-4D771B74841E}"/>
                </a:ext>
              </a:extLst>
            </xdr:cNvPr>
            <xdr:cNvSpPr/>
          </xdr:nvSpPr>
          <xdr:spPr>
            <a:xfrm>
              <a:off x="825500" y="14249400"/>
              <a:ext cx="7358083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2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24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pl-PL" sz="24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2400" b="0" i="0">
                        <a:latin typeface="Cambria Math" panose="02040503050406030204" pitchFamily="18" charset="0"/>
                      </a:rPr>
                      <m:t>5278,95−3103,58</m:t>
                    </m:r>
                    <m:r>
                      <a:rPr lang="pl-PL" sz="24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pl-PL" sz="2400" i="1">
                        <a:latin typeface="Cambria Math" panose="02040503050406030204" pitchFamily="18" charset="0"/>
                      </a:rPr>
                      <m:t>𝑍</m:t>
                    </m:r>
                  </m:oMath>
                </m:oMathPara>
              </a14:m>
              <a:endParaRPr lang="pl-PL" sz="2400"/>
            </a:p>
          </xdr:txBody>
        </xdr:sp>
      </mc:Choice>
      <mc:Fallback xmlns="">
        <xdr:sp macro="" textlink="">
          <xdr:nvSpPr>
            <xdr:cNvPr id="5" name="Prostokąt 4">
              <a:extLst>
                <a:ext uri="{FF2B5EF4-FFF2-40B4-BE49-F238E27FC236}">
                  <a16:creationId xmlns:a16="http://schemas.microsoft.com/office/drawing/2014/main" xmlns="" xmlns:a14="http://schemas.microsoft.com/office/drawing/2010/main" id="{F5FAEB3E-EE9A-DE49-8098-4D771B74841E}"/>
                </a:ext>
              </a:extLst>
            </xdr:cNvPr>
            <xdr:cNvSpPr/>
          </xdr:nvSpPr>
          <xdr:spPr>
            <a:xfrm>
              <a:off x="825500" y="14249400"/>
              <a:ext cx="7358083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0" i="0">
                  <a:latin typeface="Cambria Math" panose="02040503050406030204" pitchFamily="18" charset="0"/>
                </a:rPr>
                <a:t>𝑌 ̂</a:t>
              </a:r>
              <a:r>
                <a:rPr lang="pl-PL" sz="2400" i="0">
                  <a:latin typeface="Cambria Math" panose="02040503050406030204" pitchFamily="18" charset="0"/>
                </a:rPr>
                <a:t>=</a:t>
              </a:r>
              <a:r>
                <a:rPr lang="pl-PL" sz="2400" b="0" i="0">
                  <a:latin typeface="Cambria Math" panose="02040503050406030204" pitchFamily="18" charset="0"/>
                </a:rPr>
                <a:t>5278,95−3103,58∗</a:t>
              </a:r>
              <a:r>
                <a:rPr lang="pl-PL" sz="2400" i="0">
                  <a:latin typeface="Cambria Math" panose="02040503050406030204" pitchFamily="18" charset="0"/>
                </a:rPr>
                <a:t>𝑍</a:t>
              </a:r>
              <a:endParaRPr lang="pl-PL" sz="2400"/>
            </a:p>
          </xdr:txBody>
        </xdr:sp>
      </mc:Fallback>
    </mc:AlternateContent>
    <xdr:clientData/>
  </xdr:twoCellAnchor>
  <xdr:twoCellAnchor>
    <xdr:from>
      <xdr:col>2</xdr:col>
      <xdr:colOff>0</xdr:colOff>
      <xdr:row>65</xdr:row>
      <xdr:rowOff>0</xdr:rowOff>
    </xdr:from>
    <xdr:to>
      <xdr:col>7</xdr:col>
      <xdr:colOff>78154</xdr:colOff>
      <xdr:row>69</xdr:row>
      <xdr:rowOff>174527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rostokąt 5">
              <a:extLst>
                <a:ext uri="{FF2B5EF4-FFF2-40B4-BE49-F238E27FC236}">
                  <a16:creationId xmlns:a16="http://schemas.microsoft.com/office/drawing/2014/main" id="{A73588AB-CC9F-DA4E-B2E5-BAF405EB8A26}"/>
                </a:ext>
              </a:extLst>
            </xdr:cNvPr>
            <xdr:cNvSpPr/>
          </xdr:nvSpPr>
          <xdr:spPr>
            <a:xfrm>
              <a:off x="1651000" y="15468600"/>
              <a:ext cx="4205654" cy="987327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400" b="1"/>
                <a:t>X</a:t>
              </a:r>
              <a:r>
                <a:rPr lang="pl-PL" sz="2400" b="1" baseline="-25000"/>
                <a:t>1</a:t>
              </a:r>
              <a14:m>
                <m:oMath xmlns:m="http://schemas.openxmlformats.org/officeDocument/2006/math">
                  <m:r>
                    <a:rPr lang="pl-PL" sz="2400" b="1" i="1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𝟓𝟐𝟕𝟖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𝟗𝟓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−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𝟑𝟏𝟎𝟑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𝟓𝟖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∗</m:t>
                  </m:r>
                  <m:f>
                    <m:fPr>
                      <m:ctrlPr>
                        <a:rPr lang="pl-PL" sz="24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l-PL" sz="24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𝟏</m:t>
                      </m:r>
                    </m:num>
                    <m:den>
                      <m:r>
                        <a:rPr lang="pl-PL" sz="24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𝒕</m:t>
                      </m:r>
                    </m:den>
                  </m:f>
                </m:oMath>
              </a14:m>
              <a:endParaRPr lang="pl-PL" sz="2400" b="1"/>
            </a:p>
          </xdr:txBody>
        </xdr:sp>
      </mc:Choice>
      <mc:Fallback xmlns="">
        <xdr:sp macro="" textlink="">
          <xdr:nvSpPr>
            <xdr:cNvPr id="6" name="Prostokąt 5">
              <a:extLst>
                <a:ext uri="{FF2B5EF4-FFF2-40B4-BE49-F238E27FC236}">
                  <a16:creationId xmlns:a16="http://schemas.microsoft.com/office/drawing/2014/main" xmlns="" xmlns:a14="http://schemas.microsoft.com/office/drawing/2010/main" id="{A73588AB-CC9F-DA4E-B2E5-BAF405EB8A26}"/>
                </a:ext>
              </a:extLst>
            </xdr:cNvPr>
            <xdr:cNvSpPr/>
          </xdr:nvSpPr>
          <xdr:spPr>
            <a:xfrm>
              <a:off x="1651000" y="15468600"/>
              <a:ext cx="4205654" cy="987327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400" b="1"/>
                <a:t>X</a:t>
              </a:r>
              <a:r>
                <a:rPr lang="pl-PL" sz="2400" b="1" baseline="-25000"/>
                <a:t>1</a:t>
              </a:r>
              <a:r>
                <a:rPr lang="pl-PL" sz="2400" b="1" i="0">
                  <a:latin typeface="Cambria Math" panose="02040503050406030204" pitchFamily="18" charset="0"/>
                </a:rPr>
                <a:t>=𝟓𝟐𝟕𝟖,𝟗𝟓−𝟑𝟏𝟎𝟑,𝟓𝟖∗</a:t>
              </a:r>
              <a:r>
                <a:rPr lang="pl-PL" sz="24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𝟏/𝒕</a:t>
              </a:r>
              <a:endParaRPr lang="pl-PL" sz="2400" b="1"/>
            </a:p>
          </xdr:txBody>
        </xdr:sp>
      </mc:Fallback>
    </mc:AlternateContent>
    <xdr:clientData/>
  </xdr:twoCellAnchor>
  <xdr:twoCellAnchor>
    <xdr:from>
      <xdr:col>8</xdr:col>
      <xdr:colOff>571500</xdr:colOff>
      <xdr:row>79</xdr:row>
      <xdr:rowOff>101600</xdr:rowOff>
    </xdr:from>
    <xdr:to>
      <xdr:col>14</xdr:col>
      <xdr:colOff>190500</xdr:colOff>
      <xdr:row>88</xdr:row>
      <xdr:rowOff>101600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4E863565-BBA4-DF8F-6337-111E8FA1F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104</xdr:row>
      <xdr:rowOff>0</xdr:rowOff>
    </xdr:from>
    <xdr:to>
      <xdr:col>6</xdr:col>
      <xdr:colOff>345702</xdr:colOff>
      <xdr:row>105</xdr:row>
      <xdr:rowOff>195188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Prostokąt 7">
              <a:extLst>
                <a:ext uri="{FF2B5EF4-FFF2-40B4-BE49-F238E27FC236}">
                  <a16:creationId xmlns:a16="http://schemas.microsoft.com/office/drawing/2014/main" id="{19101328-9D32-AA43-A663-2100033A077B}"/>
                </a:ext>
              </a:extLst>
            </xdr:cNvPr>
            <xdr:cNvSpPr/>
          </xdr:nvSpPr>
          <xdr:spPr>
            <a:xfrm>
              <a:off x="825500" y="24523700"/>
              <a:ext cx="4473202" cy="39838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14:m>
                <m:oMath xmlns:m="http://schemas.openxmlformats.org/officeDocument/2006/math">
                  <m:acc>
                    <m:accPr>
                      <m:chr m:val="̂"/>
                      <m:ctrlPr>
                        <a:rPr lang="pl-PL" sz="20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accPr>
                    <m:e>
                      <m:r>
                        <a:rPr lang="pl-PL" sz="20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𝒀</m:t>
                      </m:r>
                    </m:e>
                  </m:acc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𝟑𝟒𝟔𝟖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𝟖𝟔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−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𝟖𝟎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𝟐𝟖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𝑿</m:t>
                  </m:r>
                </m:oMath>
              </a14:m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+19,64</a:t>
              </a:r>
              <a14:m>
                <m:oMath xmlns:m="http://schemas.openxmlformats.org/officeDocument/2006/math"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𝒁</m:t>
                  </m:r>
                </m:oMath>
              </a14:m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Prostokąt 7">
              <a:extLst>
                <a:ext uri="{FF2B5EF4-FFF2-40B4-BE49-F238E27FC236}">
                  <a16:creationId xmlns:a16="http://schemas.microsoft.com/office/drawing/2014/main" xmlns="" xmlns:a14="http://schemas.microsoft.com/office/drawing/2010/main" id="{19101328-9D32-AA43-A663-2100033A077B}"/>
                </a:ext>
              </a:extLst>
            </xdr:cNvPr>
            <xdr:cNvSpPr/>
          </xdr:nvSpPr>
          <xdr:spPr>
            <a:xfrm>
              <a:off x="825500" y="24523700"/>
              <a:ext cx="4473202" cy="39838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𝒀 ̂=𝟑𝟒𝟔𝟖,𝟖𝟔−𝟖𝟎,𝟐𝟖𝑿</a:t>
              </a:r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+19,64</a:t>
              </a:r>
              <a:r>
                <a:rPr lang="pl-PL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𝒁</a:t>
              </a:r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</xdr:col>
      <xdr:colOff>0</xdr:colOff>
      <xdr:row>109</xdr:row>
      <xdr:rowOff>0</xdr:rowOff>
    </xdr:from>
    <xdr:to>
      <xdr:col>7</xdr:col>
      <xdr:colOff>738716</xdr:colOff>
      <xdr:row>110</xdr:row>
      <xdr:rowOff>202808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Prostokąt 8">
              <a:extLst>
                <a:ext uri="{FF2B5EF4-FFF2-40B4-BE49-F238E27FC236}">
                  <a16:creationId xmlns:a16="http://schemas.microsoft.com/office/drawing/2014/main" id="{F278D39F-74C6-4B46-A263-414D8C00F584}"/>
                </a:ext>
              </a:extLst>
            </xdr:cNvPr>
            <xdr:cNvSpPr/>
          </xdr:nvSpPr>
          <xdr:spPr>
            <a:xfrm>
              <a:off x="825500" y="25539700"/>
              <a:ext cx="5691716" cy="40600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/>
                <a:t>X</a:t>
              </a:r>
              <a:r>
                <a:rPr lang="pl-PL" sz="2400" b="1" baseline="-25000"/>
                <a:t>1</a:t>
              </a:r>
              <a14:m>
                <m:oMath xmlns:m="http://schemas.openxmlformats.org/officeDocument/2006/math">
                  <m:r>
                    <a:rPr lang="pl-PL" sz="2400" b="1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𝟑𝟒𝟔𝟖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𝟖𝟔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−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𝟖𝟎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𝟐𝟖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+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𝟏𝟗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𝟔𝟒</m:t>
                  </m:r>
                  <m:sSup>
                    <m:sSupPr>
                      <m:ctrlPr>
                        <a:rPr lang="pl-PL" sz="24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𝒕</m:t>
                      </m:r>
                    </m:e>
                    <m:sup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𝟐</m:t>
                      </m:r>
                    </m:sup>
                  </m:sSup>
                </m:oMath>
              </a14:m>
              <a:endParaRPr lang="pl-PL" sz="2400" b="1"/>
            </a:p>
          </xdr:txBody>
        </xdr:sp>
      </mc:Choice>
      <mc:Fallback xmlns="">
        <xdr:sp macro="" textlink="">
          <xdr:nvSpPr>
            <xdr:cNvPr id="9" name="Prostokąt 8">
              <a:extLst>
                <a:ext uri="{FF2B5EF4-FFF2-40B4-BE49-F238E27FC236}">
                  <a16:creationId xmlns:a16="http://schemas.microsoft.com/office/drawing/2014/main" xmlns="" xmlns:a14="http://schemas.microsoft.com/office/drawing/2010/main" id="{F278D39F-74C6-4B46-A263-414D8C00F584}"/>
                </a:ext>
              </a:extLst>
            </xdr:cNvPr>
            <xdr:cNvSpPr/>
          </xdr:nvSpPr>
          <xdr:spPr>
            <a:xfrm>
              <a:off x="825500" y="25539700"/>
              <a:ext cx="5691716" cy="40600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/>
                <a:t>X</a:t>
              </a:r>
              <a:r>
                <a:rPr lang="pl-PL" sz="2400" b="1" baseline="-25000"/>
                <a:t>1</a:t>
              </a:r>
              <a:r>
                <a:rPr lang="pl-PL" sz="2400" b="1" i="0">
                  <a:latin typeface="Cambria Math" panose="02040503050406030204" pitchFamily="18" charset="0"/>
                </a:rPr>
                <a:t>=𝟑𝟒𝟔𝟖,𝟖𝟔−𝟖𝟎,𝟐𝟖𝒕+𝟏𝟗,𝟔𝟒𝒕^𝟐</a:t>
              </a:r>
              <a:endParaRPr lang="pl-PL" sz="2400" b="1"/>
            </a:p>
          </xdr:txBody>
        </xdr:sp>
      </mc:Fallback>
    </mc:AlternateContent>
    <xdr:clientData/>
  </xdr:twoCellAnchor>
  <xdr:twoCellAnchor>
    <xdr:from>
      <xdr:col>8</xdr:col>
      <xdr:colOff>596900</xdr:colOff>
      <xdr:row>121</xdr:row>
      <xdr:rowOff>12700</xdr:rowOff>
    </xdr:from>
    <xdr:to>
      <xdr:col>14</xdr:col>
      <xdr:colOff>215900</xdr:colOff>
      <xdr:row>130</xdr:row>
      <xdr:rowOff>12700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91FAB455-9E0F-5DD3-B993-454F50020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144</xdr:row>
      <xdr:rowOff>0</xdr:rowOff>
    </xdr:from>
    <xdr:to>
      <xdr:col>6</xdr:col>
      <xdr:colOff>367468</xdr:colOff>
      <xdr:row>146</xdr:row>
      <xdr:rowOff>65139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Prostokąt 10">
              <a:extLst>
                <a:ext uri="{FF2B5EF4-FFF2-40B4-BE49-F238E27FC236}">
                  <a16:creationId xmlns:a16="http://schemas.microsoft.com/office/drawing/2014/main" id="{5DAFAE66-C46F-E64C-B9B2-FB743EE5AE3B}"/>
                </a:ext>
              </a:extLst>
            </xdr:cNvPr>
            <xdr:cNvSpPr/>
          </xdr:nvSpPr>
          <xdr:spPr>
            <a:xfrm>
              <a:off x="825500" y="33782000"/>
              <a:ext cx="4494968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2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24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  <m:r>
                      <a:rPr lang="pl-PL" sz="24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2400" b="0" i="0">
                        <a:latin typeface="Cambria Math" panose="02040503050406030204" pitchFamily="18" charset="0"/>
                      </a:rPr>
                      <m:t>7,96+0,</m:t>
                    </m:r>
                    <m:r>
                      <a:rPr lang="pl-PL" sz="2400" b="0" i="1">
                        <a:latin typeface="Cambria Math" panose="02040503050406030204" pitchFamily="18" charset="0"/>
                      </a:rPr>
                      <m:t>05</m:t>
                    </m:r>
                    <m:r>
                      <a:rPr lang="pl-PL" sz="24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pl-PL" sz="2400"/>
            </a:p>
          </xdr:txBody>
        </xdr:sp>
      </mc:Choice>
      <mc:Fallback xmlns="">
        <xdr:sp macro="" textlink="">
          <xdr:nvSpPr>
            <xdr:cNvPr id="11" name="Prostokąt 10">
              <a:extLst>
                <a:ext uri="{FF2B5EF4-FFF2-40B4-BE49-F238E27FC236}">
                  <a16:creationId xmlns:a16="http://schemas.microsoft.com/office/drawing/2014/main" xmlns="" xmlns:a14="http://schemas.microsoft.com/office/drawing/2010/main" id="{5DAFAE66-C46F-E64C-B9B2-FB743EE5AE3B}"/>
                </a:ext>
              </a:extLst>
            </xdr:cNvPr>
            <xdr:cNvSpPr/>
          </xdr:nvSpPr>
          <xdr:spPr>
            <a:xfrm>
              <a:off x="825500" y="33782000"/>
              <a:ext cx="4494968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0" i="0">
                  <a:latin typeface="Cambria Math" panose="02040503050406030204" pitchFamily="18" charset="0"/>
                </a:rPr>
                <a:t>𝑊 ̂</a:t>
              </a:r>
              <a:r>
                <a:rPr lang="pl-PL" sz="2400" i="0">
                  <a:latin typeface="Cambria Math" panose="02040503050406030204" pitchFamily="18" charset="0"/>
                </a:rPr>
                <a:t>=</a:t>
              </a:r>
              <a:r>
                <a:rPr lang="pl-PL" sz="2400" b="0" i="0">
                  <a:latin typeface="Cambria Math" panose="02040503050406030204" pitchFamily="18" charset="0"/>
                </a:rPr>
                <a:t>7,96+0,05𝑋</a:t>
              </a:r>
              <a:endParaRPr lang="pl-PL" sz="2400"/>
            </a:p>
          </xdr:txBody>
        </xdr:sp>
      </mc:Fallback>
    </mc:AlternateContent>
    <xdr:clientData/>
  </xdr:twoCellAnchor>
  <xdr:twoCellAnchor>
    <xdr:from>
      <xdr:col>1</xdr:col>
      <xdr:colOff>152400</xdr:colOff>
      <xdr:row>149</xdr:row>
      <xdr:rowOff>38100</xdr:rowOff>
    </xdr:from>
    <xdr:to>
      <xdr:col>10</xdr:col>
      <xdr:colOff>49232</xdr:colOff>
      <xdr:row>151</xdr:row>
      <xdr:rowOff>103239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Prostokąt 11">
              <a:extLst>
                <a:ext uri="{FF2B5EF4-FFF2-40B4-BE49-F238E27FC236}">
                  <a16:creationId xmlns:a16="http://schemas.microsoft.com/office/drawing/2014/main" id="{3DC33B3F-97B6-9E44-8C72-E2DAB5109136}"/>
                </a:ext>
              </a:extLst>
            </xdr:cNvPr>
            <xdr:cNvSpPr/>
          </xdr:nvSpPr>
          <xdr:spPr>
            <a:xfrm>
              <a:off x="977900" y="34836100"/>
              <a:ext cx="7326332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/>
                <a:t>X</a:t>
              </a:r>
              <a:r>
                <a:rPr lang="pl-PL" sz="2400" baseline="-25000"/>
                <a:t>1</a:t>
              </a:r>
              <a14:m>
                <m:oMath xmlns:m="http://schemas.openxmlformats.org/officeDocument/2006/math">
                  <m:r>
                    <a:rPr lang="pl-PL" sz="2400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0" i="1">
                      <a:latin typeface="Cambria Math" panose="02040503050406030204" pitchFamily="18" charset="0"/>
                    </a:rPr>
                    <m:t>2852,43</m:t>
                  </m:r>
                  <m:sSup>
                    <m:sSupPr>
                      <m:ctrlPr>
                        <a:rPr lang="pl-PL" sz="24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pl-PL" sz="2400" b="0" i="1">
                          <a:latin typeface="Cambria Math" panose="02040503050406030204" pitchFamily="18" charset="0"/>
                        </a:rPr>
                        <m:t>0,05</m:t>
                      </m:r>
                      <m:r>
                        <a:rPr lang="pl-PL" sz="2400" b="0" i="1">
                          <a:latin typeface="Cambria Math" panose="02040503050406030204" pitchFamily="18" charset="0"/>
                        </a:rPr>
                        <m:t>𝑡</m:t>
                      </m:r>
                    </m:sup>
                  </m:sSup>
                </m:oMath>
              </a14:m>
              <a:endParaRPr lang="pl-PL" sz="2400"/>
            </a:p>
          </xdr:txBody>
        </xdr:sp>
      </mc:Choice>
      <mc:Fallback xmlns="">
        <xdr:sp macro="" textlink="">
          <xdr:nvSpPr>
            <xdr:cNvPr id="12" name="Prostokąt 11">
              <a:extLst>
                <a:ext uri="{FF2B5EF4-FFF2-40B4-BE49-F238E27FC236}">
                  <a16:creationId xmlns:a16="http://schemas.microsoft.com/office/drawing/2014/main" id="{3DC33B3F-97B6-9E44-8C72-E2DAB5109136}"/>
                </a:ext>
              </a:extLst>
            </xdr:cNvPr>
            <xdr:cNvSpPr/>
          </xdr:nvSpPr>
          <xdr:spPr>
            <a:xfrm>
              <a:off x="977900" y="34836100"/>
              <a:ext cx="7326332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/>
                <a:t>X</a:t>
              </a:r>
              <a:r>
                <a:rPr lang="pl-PL" sz="2400" baseline="-25000"/>
                <a:t>1</a:t>
              </a:r>
              <a:r>
                <a:rPr lang="pl-PL" sz="2400" i="0">
                  <a:latin typeface="Cambria Math" panose="02040503050406030204" pitchFamily="18" charset="0"/>
                </a:rPr>
                <a:t>=</a:t>
              </a:r>
              <a:r>
                <a:rPr lang="pl-PL" sz="2400" b="0" i="0">
                  <a:latin typeface="Cambria Math" panose="02040503050406030204" pitchFamily="18" charset="0"/>
                </a:rPr>
                <a:t>2852,43𝑒^0,05𝑡</a:t>
              </a:r>
              <a:endParaRPr lang="pl-PL" sz="2400"/>
            </a:p>
          </xdr:txBody>
        </xdr:sp>
      </mc:Fallback>
    </mc:AlternateContent>
    <xdr:clientData/>
  </xdr:twoCellAnchor>
  <xdr:twoCellAnchor>
    <xdr:from>
      <xdr:col>8</xdr:col>
      <xdr:colOff>615950</xdr:colOff>
      <xdr:row>160</xdr:row>
      <xdr:rowOff>127000</xdr:rowOff>
    </xdr:from>
    <xdr:to>
      <xdr:col>14</xdr:col>
      <xdr:colOff>234950</xdr:colOff>
      <xdr:row>169</xdr:row>
      <xdr:rowOff>152400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6621B1ED-53E1-EC51-9423-C9CA1B423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185</xdr:row>
      <xdr:rowOff>0</xdr:rowOff>
    </xdr:from>
    <xdr:to>
      <xdr:col>14</xdr:col>
      <xdr:colOff>775044</xdr:colOff>
      <xdr:row>186</xdr:row>
      <xdr:rowOff>180377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Prostokąt 13">
              <a:extLst>
                <a:ext uri="{FF2B5EF4-FFF2-40B4-BE49-F238E27FC236}">
                  <a16:creationId xmlns:a16="http://schemas.microsoft.com/office/drawing/2014/main" id="{E25E50E2-C66D-D04D-A328-B4140761BE09}"/>
                </a:ext>
              </a:extLst>
            </xdr:cNvPr>
            <xdr:cNvSpPr/>
          </xdr:nvSpPr>
          <xdr:spPr>
            <a:xfrm>
              <a:off x="4953000" y="43243500"/>
              <a:ext cx="7379044" cy="383577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8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8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  <m:r>
                      <a:rPr lang="pl-PL" sz="18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800" b="0" i="0">
                        <a:latin typeface="Cambria Math" panose="02040503050406030204" pitchFamily="18" charset="0"/>
                      </a:rPr>
                      <m:t>7,86</m:t>
                    </m:r>
                    <m:r>
                      <a:rPr lang="pl-PL" sz="1800">
                        <a:latin typeface="Cambria Math" panose="02040503050406030204" pitchFamily="18" charset="0"/>
                      </a:rPr>
                      <m:t>+</m:t>
                    </m:r>
                    <m:r>
                      <a:rPr lang="pl-PL" sz="1800" b="0" i="1">
                        <a:latin typeface="Cambria Math" panose="02040503050406030204" pitchFamily="18" charset="0"/>
                      </a:rPr>
                      <m:t>0,28∗</m:t>
                    </m:r>
                    <m:sSub>
                      <m:sSubPr>
                        <m:ctrlPr>
                          <a:rPr lang="pl-PL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8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/>
                    </m:sSub>
                  </m:oMath>
                </m:oMathPara>
              </a14:m>
              <a:endParaRPr lang="pl-PL" sz="1800"/>
            </a:p>
          </xdr:txBody>
        </xdr:sp>
      </mc:Choice>
      <mc:Fallback xmlns="">
        <xdr:sp macro="" textlink="">
          <xdr:nvSpPr>
            <xdr:cNvPr id="14" name="Prostokąt 13">
              <a:extLst>
                <a:ext uri="{FF2B5EF4-FFF2-40B4-BE49-F238E27FC236}">
                  <a16:creationId xmlns:a16="http://schemas.microsoft.com/office/drawing/2014/main" xmlns="" xmlns:a14="http://schemas.microsoft.com/office/drawing/2010/main" id="{E25E50E2-C66D-D04D-A328-B4140761BE09}"/>
                </a:ext>
              </a:extLst>
            </xdr:cNvPr>
            <xdr:cNvSpPr/>
          </xdr:nvSpPr>
          <xdr:spPr>
            <a:xfrm>
              <a:off x="4953000" y="43243500"/>
              <a:ext cx="7379044" cy="383577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1800" b="0" i="0">
                  <a:latin typeface="Cambria Math" panose="02040503050406030204" pitchFamily="18" charset="0"/>
                </a:rPr>
                <a:t>𝑊 ̂</a:t>
              </a:r>
              <a:r>
                <a:rPr lang="pl-PL" sz="1800" i="0">
                  <a:latin typeface="Cambria Math" panose="02040503050406030204" pitchFamily="18" charset="0"/>
                </a:rPr>
                <a:t>=</a:t>
              </a:r>
              <a:r>
                <a:rPr lang="pl-PL" sz="1800" b="0" i="0">
                  <a:latin typeface="Cambria Math" panose="02040503050406030204" pitchFamily="18" charset="0"/>
                </a:rPr>
                <a:t>7,86</a:t>
              </a:r>
              <a:r>
                <a:rPr lang="pl-PL" sz="1800" i="0">
                  <a:latin typeface="Cambria Math" panose="02040503050406030204" pitchFamily="18" charset="0"/>
                </a:rPr>
                <a:t>+</a:t>
              </a:r>
              <a:r>
                <a:rPr lang="pl-PL" sz="1800" b="0" i="0">
                  <a:latin typeface="Cambria Math" panose="02040503050406030204" pitchFamily="18" charset="0"/>
                </a:rPr>
                <a:t>0,28∗</a:t>
              </a:r>
              <a:r>
                <a:rPr lang="pl-PL" sz="1800" i="0">
                  <a:latin typeface="Cambria Math" panose="02040503050406030204" pitchFamily="18" charset="0"/>
                </a:rPr>
                <a:t>𝑍_</a:t>
              </a:r>
              <a:endParaRPr lang="pl-PL" sz="1800"/>
            </a:p>
          </xdr:txBody>
        </xdr:sp>
      </mc:Fallback>
    </mc:AlternateContent>
    <xdr:clientData/>
  </xdr:twoCellAnchor>
  <xdr:twoCellAnchor>
    <xdr:from>
      <xdr:col>6</xdr:col>
      <xdr:colOff>0</xdr:colOff>
      <xdr:row>190</xdr:row>
      <xdr:rowOff>0</xdr:rowOff>
    </xdr:from>
    <xdr:to>
      <xdr:col>12</xdr:col>
      <xdr:colOff>107928</xdr:colOff>
      <xdr:row>192</xdr:row>
      <xdr:rowOff>165831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Prostokąt 14">
              <a:extLst>
                <a:ext uri="{FF2B5EF4-FFF2-40B4-BE49-F238E27FC236}">
                  <a16:creationId xmlns:a16="http://schemas.microsoft.com/office/drawing/2014/main" id="{8CFC7644-B8BC-F246-8613-3B7047919C91}"/>
                </a:ext>
              </a:extLst>
            </xdr:cNvPr>
            <xdr:cNvSpPr/>
          </xdr:nvSpPr>
          <xdr:spPr>
            <a:xfrm>
              <a:off x="4953000" y="44259500"/>
              <a:ext cx="5060928" cy="572231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800" b="1"/>
                <a:t>X</a:t>
              </a:r>
              <a:r>
                <a:rPr lang="pl-PL" sz="2800" b="1" baseline="-25000"/>
                <a:t>1</a:t>
              </a:r>
              <a14:m>
                <m:oMath xmlns:m="http://schemas.openxmlformats.org/officeDocument/2006/math">
                  <m:r>
                    <a:rPr lang="pl-PL" sz="2800" b="1" i="1">
                      <a:latin typeface="Cambria Math" panose="02040503050406030204" pitchFamily="18" charset="0"/>
                    </a:rPr>
                    <m:t>=</m:t>
                  </m:r>
                  <m:r>
                    <a:rPr lang="pl-PL" sz="2800" b="1" i="1">
                      <a:latin typeface="Cambria Math" panose="02040503050406030204" pitchFamily="18" charset="0"/>
                    </a:rPr>
                    <m:t>𝟐𝟓𝟗𝟓</m:t>
                  </m:r>
                  <m:r>
                    <a:rPr lang="pl-PL" sz="28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800" b="1" i="1">
                      <a:latin typeface="Cambria Math" panose="02040503050406030204" pitchFamily="18" charset="0"/>
                    </a:rPr>
                    <m:t>𝟑𝟗</m:t>
                  </m:r>
                  <m:sSubSup>
                    <m:sSubSupPr>
                      <m:ctrlPr>
                        <a:rPr lang="pl-PL" sz="2800" b="1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pl-PL" sz="28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pl-PL" sz="2800" b="1" i="1">
                          <a:latin typeface="Cambria Math" panose="02040503050406030204" pitchFamily="18" charset="0"/>
                        </a:rPr>
                        <m:t>𝒕</m:t>
                      </m:r>
                    </m:e>
                    <m:sub/>
                    <m:sup>
                      <m:r>
                        <a:rPr lang="pl-PL" sz="2800" b="1" i="1">
                          <a:latin typeface="Cambria Math" panose="02040503050406030204" pitchFamily="18" charset="0"/>
                        </a:rPr>
                        <m:t>𝟎</m:t>
                      </m:r>
                      <m:r>
                        <a:rPr lang="pl-PL" sz="2800" b="1" i="1"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pl-PL" sz="2800" b="1" i="1">
                          <a:latin typeface="Cambria Math" panose="02040503050406030204" pitchFamily="18" charset="0"/>
                        </a:rPr>
                        <m:t>𝟐𝟖</m:t>
                      </m:r>
                    </m:sup>
                  </m:sSubSup>
                </m:oMath>
              </a14:m>
              <a:endParaRPr lang="pl-PL" sz="2800" b="1"/>
            </a:p>
          </xdr:txBody>
        </xdr:sp>
      </mc:Choice>
      <mc:Fallback xmlns="">
        <xdr:sp macro="" textlink="">
          <xdr:nvSpPr>
            <xdr:cNvPr id="15" name="Prostokąt 14">
              <a:extLst>
                <a:ext uri="{FF2B5EF4-FFF2-40B4-BE49-F238E27FC236}">
                  <a16:creationId xmlns:a16="http://schemas.microsoft.com/office/drawing/2014/main" xmlns="" xmlns:a14="http://schemas.microsoft.com/office/drawing/2010/main" id="{8CFC7644-B8BC-F246-8613-3B7047919C91}"/>
                </a:ext>
              </a:extLst>
            </xdr:cNvPr>
            <xdr:cNvSpPr/>
          </xdr:nvSpPr>
          <xdr:spPr>
            <a:xfrm>
              <a:off x="4953000" y="44259500"/>
              <a:ext cx="5060928" cy="572231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800" b="1"/>
                <a:t>X</a:t>
              </a:r>
              <a:r>
                <a:rPr lang="pl-PL" sz="2800" b="1" baseline="-25000"/>
                <a:t>1</a:t>
              </a:r>
              <a:r>
                <a:rPr lang="pl-PL" sz="2800" b="1" i="0">
                  <a:latin typeface="Cambria Math" panose="02040503050406030204" pitchFamily="18" charset="0"/>
                </a:rPr>
                <a:t>=𝟐𝟓𝟗𝟓,𝟑𝟗〖 𝒕〗_^(𝟎,𝟐𝟖)</a:t>
              </a:r>
              <a:endParaRPr lang="pl-PL" sz="2800" b="1"/>
            </a:p>
          </xdr:txBody>
        </xdr:sp>
      </mc:Fallback>
    </mc:AlternateContent>
    <xdr:clientData/>
  </xdr:twoCellAnchor>
  <xdr:twoCellAnchor>
    <xdr:from>
      <xdr:col>1</xdr:col>
      <xdr:colOff>25400</xdr:colOff>
      <xdr:row>203</xdr:row>
      <xdr:rowOff>76200</xdr:rowOff>
    </xdr:from>
    <xdr:to>
      <xdr:col>9</xdr:col>
      <xdr:colOff>747732</xdr:colOff>
      <xdr:row>205</xdr:row>
      <xdr:rowOff>141339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Prostokąt 15">
              <a:extLst>
                <a:ext uri="{FF2B5EF4-FFF2-40B4-BE49-F238E27FC236}">
                  <a16:creationId xmlns:a16="http://schemas.microsoft.com/office/drawing/2014/main" id="{3BDEBF69-A6B1-9B45-AE42-2970B4D9C012}"/>
                </a:ext>
              </a:extLst>
            </xdr:cNvPr>
            <xdr:cNvSpPr/>
          </xdr:nvSpPr>
          <xdr:spPr>
            <a:xfrm>
              <a:off x="850900" y="47078900"/>
              <a:ext cx="7326332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/>
                <a:t>X</a:t>
              </a:r>
              <a:r>
                <a:rPr lang="pl-PL" sz="2400" baseline="-25000"/>
                <a:t>1</a:t>
              </a:r>
              <a14:m>
                <m:oMath xmlns:m="http://schemas.openxmlformats.org/officeDocument/2006/math">
                  <m:r>
                    <a:rPr lang="pl-PL" sz="2400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0" i="1">
                      <a:latin typeface="Cambria Math" panose="02040503050406030204" pitchFamily="18" charset="0"/>
                    </a:rPr>
                    <m:t>2852,43</m:t>
                  </m:r>
                  <m:sSup>
                    <m:sSupPr>
                      <m:ctrlPr>
                        <a:rPr lang="pl-PL" sz="24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pl-PL" sz="2400" b="0" i="1">
                          <a:latin typeface="Cambria Math" panose="02040503050406030204" pitchFamily="18" charset="0"/>
                        </a:rPr>
                        <m:t>0,05</m:t>
                      </m:r>
                      <m:r>
                        <a:rPr lang="pl-PL" sz="2400" b="0" i="1">
                          <a:latin typeface="Cambria Math" panose="02040503050406030204" pitchFamily="18" charset="0"/>
                        </a:rPr>
                        <m:t>𝑡</m:t>
                      </m:r>
                    </m:sup>
                  </m:sSup>
                </m:oMath>
              </a14:m>
              <a:endParaRPr lang="pl-PL" sz="2400"/>
            </a:p>
          </xdr:txBody>
        </xdr:sp>
      </mc:Choice>
      <mc:Fallback xmlns="">
        <xdr:sp macro="" textlink="">
          <xdr:nvSpPr>
            <xdr:cNvPr id="16" name="Prostokąt 15">
              <a:extLst>
                <a:ext uri="{FF2B5EF4-FFF2-40B4-BE49-F238E27FC236}">
                  <a16:creationId xmlns:a16="http://schemas.microsoft.com/office/drawing/2014/main" xmlns="" xmlns:a14="http://schemas.microsoft.com/office/drawing/2010/main" id="{3BDEBF69-A6B1-9B45-AE42-2970B4D9C012}"/>
                </a:ext>
              </a:extLst>
            </xdr:cNvPr>
            <xdr:cNvSpPr/>
          </xdr:nvSpPr>
          <xdr:spPr>
            <a:xfrm>
              <a:off x="850900" y="47078900"/>
              <a:ext cx="7326332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/>
                <a:t>X</a:t>
              </a:r>
              <a:r>
                <a:rPr lang="pl-PL" sz="2400" baseline="-25000"/>
                <a:t>1</a:t>
              </a:r>
              <a:r>
                <a:rPr lang="pl-PL" sz="2400" i="0">
                  <a:latin typeface="Cambria Math" panose="02040503050406030204" pitchFamily="18" charset="0"/>
                </a:rPr>
                <a:t>=</a:t>
              </a:r>
              <a:r>
                <a:rPr lang="pl-PL" sz="2400" b="0" i="0">
                  <a:latin typeface="Cambria Math" panose="02040503050406030204" pitchFamily="18" charset="0"/>
                </a:rPr>
                <a:t>2852,43𝑒^0,05𝑡</a:t>
              </a:r>
              <a:endParaRPr lang="pl-PL" sz="24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0</xdr:row>
      <xdr:rowOff>177800</xdr:rowOff>
    </xdr:from>
    <xdr:to>
      <xdr:col>14</xdr:col>
      <xdr:colOff>19050</xdr:colOff>
      <xdr:row>13</xdr:row>
      <xdr:rowOff>63500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24371BD-886D-B936-821B-4C7FC1AB3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792392</xdr:colOff>
      <xdr:row>26</xdr:row>
      <xdr:rowOff>10855</xdr:rowOff>
    </xdr:from>
    <xdr:to>
      <xdr:col>6</xdr:col>
      <xdr:colOff>313137</xdr:colOff>
      <xdr:row>27</xdr:row>
      <xdr:rowOff>206043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rostokąt 2">
              <a:extLst>
                <a:ext uri="{FF2B5EF4-FFF2-40B4-BE49-F238E27FC236}">
                  <a16:creationId xmlns:a16="http://schemas.microsoft.com/office/drawing/2014/main" id="{974985C6-CC8C-AD46-B04A-823A2DD78BD7}"/>
                </a:ext>
              </a:extLst>
            </xdr:cNvPr>
            <xdr:cNvSpPr/>
          </xdr:nvSpPr>
          <xdr:spPr>
            <a:xfrm>
              <a:off x="792392" y="5677009"/>
              <a:ext cx="4470489" cy="401427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000" b="1" i="0">
                  <a:latin typeface="Arial" panose="020B0604020202020204" pitchFamily="34" charset="0"/>
                  <a:ea typeface="Cambria Math" panose="02040503050406030204" pitchFamily="18" charset="0"/>
                </a:rPr>
                <a:t>X</a:t>
              </a:r>
              <a:r>
                <a:rPr lang="pl-PL" sz="2000" b="1" i="0" baseline="-25000">
                  <a:latin typeface="Arial" panose="020B0604020202020204" pitchFamily="34" charset="0"/>
                  <a:ea typeface="Cambria Math" panose="02040503050406030204" pitchFamily="18" charset="0"/>
                </a:rPr>
                <a:t>3</a:t>
              </a:r>
              <a14:m>
                <m:oMath xmlns:m="http://schemas.openxmlformats.org/officeDocument/2006/math"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𝟏𝟎𝟎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𝟐𝟔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𝟎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𝟒𝟎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𝒕</m:t>
                  </m:r>
                </m:oMath>
              </a14:m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Prostokąt 2">
              <a:extLst>
                <a:ext uri="{FF2B5EF4-FFF2-40B4-BE49-F238E27FC236}">
                  <a16:creationId xmlns:a16="http://schemas.microsoft.com/office/drawing/2014/main" xmlns="" xmlns:a14="http://schemas.microsoft.com/office/drawing/2010/main" id="{974985C6-CC8C-AD46-B04A-823A2DD78BD7}"/>
                </a:ext>
              </a:extLst>
            </xdr:cNvPr>
            <xdr:cNvSpPr/>
          </xdr:nvSpPr>
          <xdr:spPr>
            <a:xfrm>
              <a:off x="792392" y="5677009"/>
              <a:ext cx="4470489" cy="401427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000" b="1" i="0">
                  <a:latin typeface="Arial" panose="020B0604020202020204" pitchFamily="34" charset="0"/>
                  <a:ea typeface="Cambria Math" panose="02040503050406030204" pitchFamily="18" charset="0"/>
                </a:rPr>
                <a:t>X</a:t>
              </a:r>
              <a:r>
                <a:rPr lang="pl-PL" sz="2000" b="1" i="0" baseline="-25000">
                  <a:latin typeface="Arial" panose="020B0604020202020204" pitchFamily="34" charset="0"/>
                  <a:ea typeface="Cambria Math" panose="02040503050406030204" pitchFamily="18" charset="0"/>
                </a:rPr>
                <a:t>3</a:t>
              </a:r>
              <a:r>
                <a:rPr lang="pl-PL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=𝟏𝟎𝟎,𝟐𝟔+𝟎,𝟒𝟎𝒕</a:t>
              </a:r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8</xdr:col>
      <xdr:colOff>551365</xdr:colOff>
      <xdr:row>34</xdr:row>
      <xdr:rowOff>96281</xdr:rowOff>
    </xdr:from>
    <xdr:to>
      <xdr:col>14</xdr:col>
      <xdr:colOff>170907</xdr:colOff>
      <xdr:row>46</xdr:row>
      <xdr:rowOff>162821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81EC77E-9AD1-2986-53C8-9F2CCE9D8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60</xdr:row>
      <xdr:rowOff>184530</xdr:rowOff>
    </xdr:from>
    <xdr:to>
      <xdr:col>8</xdr:col>
      <xdr:colOff>758425</xdr:colOff>
      <xdr:row>63</xdr:row>
      <xdr:rowOff>37351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Prostokąt 4">
              <a:extLst>
                <a:ext uri="{FF2B5EF4-FFF2-40B4-BE49-F238E27FC236}">
                  <a16:creationId xmlns:a16="http://schemas.microsoft.com/office/drawing/2014/main" id="{80B29F91-772F-EA42-8DA4-0EFADDC78445}"/>
                </a:ext>
              </a:extLst>
            </xdr:cNvPr>
            <xdr:cNvSpPr/>
          </xdr:nvSpPr>
          <xdr:spPr>
            <a:xfrm>
              <a:off x="0" y="13166752"/>
              <a:ext cx="7358083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2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24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pl-PL" sz="24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2400" b="0" i="0">
                        <a:latin typeface="Cambria Math" panose="02040503050406030204" pitchFamily="18" charset="0"/>
                      </a:rPr>
                      <m:t>103,81−</m:t>
                    </m:r>
                    <m:r>
                      <a:rPr lang="pl-PL" sz="2400" b="0" i="1">
                        <a:latin typeface="Cambria Math" panose="02040503050406030204" pitchFamily="18" charset="0"/>
                      </a:rPr>
                      <m:t>0,92∗</m:t>
                    </m:r>
                    <m:r>
                      <a:rPr lang="pl-PL" sz="2400" i="1">
                        <a:latin typeface="Cambria Math" panose="02040503050406030204" pitchFamily="18" charset="0"/>
                      </a:rPr>
                      <m:t>𝑍</m:t>
                    </m:r>
                  </m:oMath>
                </m:oMathPara>
              </a14:m>
              <a:endParaRPr lang="pl-PL" sz="2400"/>
            </a:p>
          </xdr:txBody>
        </xdr:sp>
      </mc:Choice>
      <mc:Fallback xmlns="">
        <xdr:sp macro="" textlink="">
          <xdr:nvSpPr>
            <xdr:cNvPr id="5" name="Prostokąt 4">
              <a:extLst>
                <a:ext uri="{FF2B5EF4-FFF2-40B4-BE49-F238E27FC236}">
                  <a16:creationId xmlns:a16="http://schemas.microsoft.com/office/drawing/2014/main" xmlns="" xmlns:a14="http://schemas.microsoft.com/office/drawing/2010/main" id="{80B29F91-772F-EA42-8DA4-0EFADDC78445}"/>
                </a:ext>
              </a:extLst>
            </xdr:cNvPr>
            <xdr:cNvSpPr/>
          </xdr:nvSpPr>
          <xdr:spPr>
            <a:xfrm>
              <a:off x="0" y="13166752"/>
              <a:ext cx="7358083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0" i="0">
                  <a:latin typeface="Cambria Math" panose="02040503050406030204" pitchFamily="18" charset="0"/>
                </a:rPr>
                <a:t>𝑌 ̂</a:t>
              </a:r>
              <a:r>
                <a:rPr lang="pl-PL" sz="2400" i="0">
                  <a:latin typeface="Cambria Math" panose="02040503050406030204" pitchFamily="18" charset="0"/>
                </a:rPr>
                <a:t>=</a:t>
              </a:r>
              <a:r>
                <a:rPr lang="pl-PL" sz="2400" b="0" i="0">
                  <a:latin typeface="Cambria Math" panose="02040503050406030204" pitchFamily="18" charset="0"/>
                </a:rPr>
                <a:t>103,81−0,92∗</a:t>
              </a:r>
              <a:r>
                <a:rPr lang="pl-PL" sz="2400" i="0">
                  <a:latin typeface="Cambria Math" panose="02040503050406030204" pitchFamily="18" charset="0"/>
                </a:rPr>
                <a:t>𝑍</a:t>
              </a:r>
              <a:endParaRPr lang="pl-PL" sz="2400"/>
            </a:p>
          </xdr:txBody>
        </xdr:sp>
      </mc:Fallback>
    </mc:AlternateContent>
    <xdr:clientData/>
  </xdr:twoCellAnchor>
  <xdr:twoCellAnchor>
    <xdr:from>
      <xdr:col>2</xdr:col>
      <xdr:colOff>325640</xdr:colOff>
      <xdr:row>65</xdr:row>
      <xdr:rowOff>162820</xdr:rowOff>
    </xdr:from>
    <xdr:to>
      <xdr:col>7</xdr:col>
      <xdr:colOff>406508</xdr:colOff>
      <xdr:row>70</xdr:row>
      <xdr:rowOff>118951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rostokąt 5">
              <a:extLst>
                <a:ext uri="{FF2B5EF4-FFF2-40B4-BE49-F238E27FC236}">
                  <a16:creationId xmlns:a16="http://schemas.microsoft.com/office/drawing/2014/main" id="{9E4460BF-0B85-C440-9CEE-0705C923AFC4}"/>
                </a:ext>
              </a:extLst>
            </xdr:cNvPr>
            <xdr:cNvSpPr/>
          </xdr:nvSpPr>
          <xdr:spPr>
            <a:xfrm>
              <a:off x="1975555" y="14176239"/>
              <a:ext cx="4205654" cy="987327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3</a:t>
              </a:r>
              <a14:m>
                <m:oMath xmlns:m="http://schemas.openxmlformats.org/officeDocument/2006/math">
                  <m:r>
                    <a:rPr lang="pl-PL" sz="2400" b="1" i="1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𝟏𝟎𝟑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𝟖𝟏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−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𝟎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𝟗𝟐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∗</m:t>
                  </m:r>
                  <m:f>
                    <m:fPr>
                      <m:ctrlPr>
                        <a:rPr lang="pl-PL" sz="24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l-PL" sz="24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𝟏</m:t>
                      </m:r>
                    </m:num>
                    <m:den>
                      <m:r>
                        <a:rPr lang="pl-PL" sz="24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𝒕</m:t>
                      </m:r>
                    </m:den>
                  </m:f>
                </m:oMath>
              </a14:m>
              <a:endParaRPr lang="pl-PL" sz="2400" b="1"/>
            </a:p>
          </xdr:txBody>
        </xdr:sp>
      </mc:Choice>
      <mc:Fallback xmlns="">
        <xdr:sp macro="" textlink="">
          <xdr:nvSpPr>
            <xdr:cNvPr id="6" name="Prostokąt 5">
              <a:extLst>
                <a:ext uri="{FF2B5EF4-FFF2-40B4-BE49-F238E27FC236}">
                  <a16:creationId xmlns:a16="http://schemas.microsoft.com/office/drawing/2014/main" id="{9E4460BF-0B85-C440-9CEE-0705C923AFC4}"/>
                </a:ext>
              </a:extLst>
            </xdr:cNvPr>
            <xdr:cNvSpPr/>
          </xdr:nvSpPr>
          <xdr:spPr>
            <a:xfrm>
              <a:off x="1975555" y="14176239"/>
              <a:ext cx="4205654" cy="987327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3</a:t>
              </a:r>
              <a:r>
                <a:rPr lang="pl-PL" sz="2400" b="1" i="0">
                  <a:latin typeface="Cambria Math" panose="02040503050406030204" pitchFamily="18" charset="0"/>
                </a:rPr>
                <a:t>=𝟏𝟎𝟑,𝟖𝟏−𝟎,𝟗𝟐∗</a:t>
              </a:r>
              <a:r>
                <a:rPr lang="pl-PL" sz="24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𝟏/𝒕</a:t>
              </a:r>
              <a:endParaRPr lang="pl-PL" sz="2400" b="1"/>
            </a:p>
          </xdr:txBody>
        </xdr:sp>
      </mc:Fallback>
    </mc:AlternateContent>
    <xdr:clientData/>
  </xdr:twoCellAnchor>
  <xdr:twoCellAnchor>
    <xdr:from>
      <xdr:col>8</xdr:col>
      <xdr:colOff>579641</xdr:colOff>
      <xdr:row>77</xdr:row>
      <xdr:rowOff>39511</xdr:rowOff>
    </xdr:from>
    <xdr:to>
      <xdr:col>14</xdr:col>
      <xdr:colOff>201897</xdr:colOff>
      <xdr:row>89</xdr:row>
      <xdr:rowOff>90745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A43C61F6-331B-90EC-09FC-60A5ED28C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102</xdr:row>
      <xdr:rowOff>206239</xdr:rowOff>
    </xdr:from>
    <xdr:to>
      <xdr:col>6</xdr:col>
      <xdr:colOff>348415</xdr:colOff>
      <xdr:row>104</xdr:row>
      <xdr:rowOff>192148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Prostokąt 7">
              <a:extLst>
                <a:ext uri="{FF2B5EF4-FFF2-40B4-BE49-F238E27FC236}">
                  <a16:creationId xmlns:a16="http://schemas.microsoft.com/office/drawing/2014/main" id="{5C529C3E-3D8D-FB41-B79A-39E15349DE54}"/>
                </a:ext>
              </a:extLst>
            </xdr:cNvPr>
            <xdr:cNvSpPr/>
          </xdr:nvSpPr>
          <xdr:spPr>
            <a:xfrm>
              <a:off x="824957" y="22154444"/>
              <a:ext cx="4473202" cy="39838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14:m>
                <m:oMath xmlns:m="http://schemas.openxmlformats.org/officeDocument/2006/math">
                  <m:acc>
                    <m:accPr>
                      <m:chr m:val="̂"/>
                      <m:ctrlPr>
                        <a:rPr lang="pl-PL" sz="20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accPr>
                    <m:e>
                      <m:r>
                        <a:rPr lang="pl-PL" sz="20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𝒀</m:t>
                      </m:r>
                    </m:e>
                  </m:acc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𝟏𝟎𝟖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𝟏𝟔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−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𝟐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𝟐𝟒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𝑿</m:t>
                  </m:r>
                </m:oMath>
              </a14:m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+0,16</a:t>
              </a:r>
              <a14:m>
                <m:oMath xmlns:m="http://schemas.openxmlformats.org/officeDocument/2006/math"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𝒁</m:t>
                  </m:r>
                </m:oMath>
              </a14:m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Prostokąt 7">
              <a:extLst>
                <a:ext uri="{FF2B5EF4-FFF2-40B4-BE49-F238E27FC236}">
                  <a16:creationId xmlns:a16="http://schemas.microsoft.com/office/drawing/2014/main" xmlns="" xmlns:a14="http://schemas.microsoft.com/office/drawing/2010/main" id="{5C529C3E-3D8D-FB41-B79A-39E15349DE54}"/>
                </a:ext>
              </a:extLst>
            </xdr:cNvPr>
            <xdr:cNvSpPr/>
          </xdr:nvSpPr>
          <xdr:spPr>
            <a:xfrm>
              <a:off x="824957" y="22154444"/>
              <a:ext cx="4473202" cy="39838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𝒀 ̂=𝟏𝟎𝟖,𝟏𝟔−𝟐,𝟐𝟒𝑿</a:t>
              </a:r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+0,16</a:t>
              </a:r>
              <a:r>
                <a:rPr lang="pl-PL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𝒁</a:t>
              </a:r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</xdr:col>
      <xdr:colOff>0</xdr:colOff>
      <xdr:row>107</xdr:row>
      <xdr:rowOff>0</xdr:rowOff>
    </xdr:from>
    <xdr:to>
      <xdr:col>7</xdr:col>
      <xdr:colOff>741972</xdr:colOff>
      <xdr:row>108</xdr:row>
      <xdr:rowOff>199769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Prostokąt 8">
              <a:extLst>
                <a:ext uri="{FF2B5EF4-FFF2-40B4-BE49-F238E27FC236}">
                  <a16:creationId xmlns:a16="http://schemas.microsoft.com/office/drawing/2014/main" id="{79DF4CB7-AD28-694B-85D3-8D2FAC19D4F6}"/>
                </a:ext>
              </a:extLst>
            </xdr:cNvPr>
            <xdr:cNvSpPr/>
          </xdr:nvSpPr>
          <xdr:spPr>
            <a:xfrm>
              <a:off x="824957" y="22979402"/>
              <a:ext cx="5691716" cy="40600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3</a:t>
              </a:r>
              <a14:m>
                <m:oMath xmlns:m="http://schemas.openxmlformats.org/officeDocument/2006/math">
                  <m:r>
                    <a:rPr lang="pl-PL" sz="2400" b="1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𝟏𝟎𝟖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𝟏𝟔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−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𝟐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𝟐𝟒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+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𝟎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𝟏𝟔</m:t>
                  </m:r>
                  <m:sSup>
                    <m:sSupPr>
                      <m:ctrlPr>
                        <a:rPr lang="pl-PL" sz="24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𝒕</m:t>
                      </m:r>
                    </m:e>
                    <m:sup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𝟐</m:t>
                      </m:r>
                    </m:sup>
                  </m:sSup>
                </m:oMath>
              </a14:m>
              <a:endParaRPr lang="pl-PL" sz="2400" b="1"/>
            </a:p>
          </xdr:txBody>
        </xdr:sp>
      </mc:Choice>
      <mc:Fallback xmlns="">
        <xdr:sp macro="" textlink="">
          <xdr:nvSpPr>
            <xdr:cNvPr id="9" name="Prostokąt 8">
              <a:extLst>
                <a:ext uri="{FF2B5EF4-FFF2-40B4-BE49-F238E27FC236}">
                  <a16:creationId xmlns:a16="http://schemas.microsoft.com/office/drawing/2014/main" id="{79DF4CB7-AD28-694B-85D3-8D2FAC19D4F6}"/>
                </a:ext>
              </a:extLst>
            </xdr:cNvPr>
            <xdr:cNvSpPr/>
          </xdr:nvSpPr>
          <xdr:spPr>
            <a:xfrm>
              <a:off x="824957" y="22979402"/>
              <a:ext cx="5691716" cy="40600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3</a:t>
              </a:r>
              <a:r>
                <a:rPr lang="pl-PL" sz="2400" b="1" i="0">
                  <a:latin typeface="Cambria Math" panose="02040503050406030204" pitchFamily="18" charset="0"/>
                </a:rPr>
                <a:t>=𝟏𝟎𝟖,𝟏𝟔−𝟐,𝟐𝟒𝒕+𝟎,𝟏𝟔𝒕^𝟐</a:t>
              </a:r>
              <a:endParaRPr lang="pl-PL" sz="2400" b="1"/>
            </a:p>
          </xdr:txBody>
        </xdr:sp>
      </mc:Fallback>
    </mc:AlternateContent>
    <xdr:clientData/>
  </xdr:twoCellAnchor>
  <xdr:twoCellAnchor>
    <xdr:from>
      <xdr:col>8</xdr:col>
      <xdr:colOff>254000</xdr:colOff>
      <xdr:row>115</xdr:row>
      <xdr:rowOff>180622</xdr:rowOff>
    </xdr:from>
    <xdr:to>
      <xdr:col>13</xdr:col>
      <xdr:colOff>701214</xdr:colOff>
      <xdr:row>128</xdr:row>
      <xdr:rowOff>14762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49E5DE6C-6314-2D7E-D896-4D9F60793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140</xdr:row>
      <xdr:rowOff>0</xdr:rowOff>
    </xdr:from>
    <xdr:to>
      <xdr:col>6</xdr:col>
      <xdr:colOff>370181</xdr:colOff>
      <xdr:row>142</xdr:row>
      <xdr:rowOff>59061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Prostokąt 10">
              <a:extLst>
                <a:ext uri="{FF2B5EF4-FFF2-40B4-BE49-F238E27FC236}">
                  <a16:creationId xmlns:a16="http://schemas.microsoft.com/office/drawing/2014/main" id="{A67D9268-AF60-BF43-BAC2-5FEFA34CFB40}"/>
                </a:ext>
              </a:extLst>
            </xdr:cNvPr>
            <xdr:cNvSpPr/>
          </xdr:nvSpPr>
          <xdr:spPr>
            <a:xfrm>
              <a:off x="824957" y="30089231"/>
              <a:ext cx="4494968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2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24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  <m:r>
                      <a:rPr lang="pl-PL" sz="24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2400" b="0" i="0">
                        <a:latin typeface="Cambria Math" panose="02040503050406030204" pitchFamily="18" charset="0"/>
                      </a:rPr>
                      <m:t>4,609+0,</m:t>
                    </m:r>
                    <m:r>
                      <a:rPr lang="pl-PL" sz="2400" b="0" i="1">
                        <a:latin typeface="Cambria Math" panose="02040503050406030204" pitchFamily="18" charset="0"/>
                      </a:rPr>
                      <m:t>004</m:t>
                    </m:r>
                    <m:r>
                      <a:rPr lang="pl-PL" sz="24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pl-PL" sz="2400"/>
            </a:p>
          </xdr:txBody>
        </xdr:sp>
      </mc:Choice>
      <mc:Fallback xmlns="">
        <xdr:sp macro="" textlink="">
          <xdr:nvSpPr>
            <xdr:cNvPr id="11" name="Prostokąt 10">
              <a:extLst>
                <a:ext uri="{FF2B5EF4-FFF2-40B4-BE49-F238E27FC236}">
                  <a16:creationId xmlns:a16="http://schemas.microsoft.com/office/drawing/2014/main" xmlns="" xmlns:a14="http://schemas.microsoft.com/office/drawing/2010/main" id="{A67D9268-AF60-BF43-BAC2-5FEFA34CFB40}"/>
                </a:ext>
              </a:extLst>
            </xdr:cNvPr>
            <xdr:cNvSpPr/>
          </xdr:nvSpPr>
          <xdr:spPr>
            <a:xfrm>
              <a:off x="824957" y="30089231"/>
              <a:ext cx="4494968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0" i="0">
                  <a:latin typeface="Cambria Math" panose="02040503050406030204" pitchFamily="18" charset="0"/>
                </a:rPr>
                <a:t>𝑊 ̂</a:t>
              </a:r>
              <a:r>
                <a:rPr lang="pl-PL" sz="2400" i="0">
                  <a:latin typeface="Cambria Math" panose="02040503050406030204" pitchFamily="18" charset="0"/>
                </a:rPr>
                <a:t>=</a:t>
              </a:r>
              <a:r>
                <a:rPr lang="pl-PL" sz="2400" b="0" i="0">
                  <a:latin typeface="Cambria Math" panose="02040503050406030204" pitchFamily="18" charset="0"/>
                </a:rPr>
                <a:t>4,609+0,004𝑋</a:t>
              </a:r>
              <a:endParaRPr lang="pl-PL" sz="2400"/>
            </a:p>
          </xdr:txBody>
        </xdr:sp>
      </mc:Fallback>
    </mc:AlternateContent>
    <xdr:clientData/>
  </xdr:twoCellAnchor>
  <xdr:twoCellAnchor>
    <xdr:from>
      <xdr:col>1</xdr:col>
      <xdr:colOff>597009</xdr:colOff>
      <xdr:row>145</xdr:row>
      <xdr:rowOff>75984</xdr:rowOff>
    </xdr:from>
    <xdr:to>
      <xdr:col>10</xdr:col>
      <xdr:colOff>498725</xdr:colOff>
      <xdr:row>147</xdr:row>
      <xdr:rowOff>135044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Prostokąt 11">
              <a:extLst>
                <a:ext uri="{FF2B5EF4-FFF2-40B4-BE49-F238E27FC236}">
                  <a16:creationId xmlns:a16="http://schemas.microsoft.com/office/drawing/2014/main" id="{1967F5B0-8948-BF43-8242-A1BFEB01011D}"/>
                </a:ext>
              </a:extLst>
            </xdr:cNvPr>
            <xdr:cNvSpPr/>
          </xdr:nvSpPr>
          <xdr:spPr>
            <a:xfrm>
              <a:off x="1421966" y="31196411"/>
              <a:ext cx="7326332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i="0">
                  <a:latin typeface="Arial" panose="020B0604020202020204" pitchFamily="34" charset="0"/>
                </a:rPr>
                <a:t>X</a:t>
              </a:r>
              <a:r>
                <a:rPr lang="pl-PL" sz="2400" i="0" baseline="-25000">
                  <a:latin typeface="Arial" panose="020B0604020202020204" pitchFamily="34" charset="0"/>
                </a:rPr>
                <a:t>3</a:t>
              </a:r>
              <a14:m>
                <m:oMath xmlns:m="http://schemas.openxmlformats.org/officeDocument/2006/math">
                  <m:r>
                    <a:rPr lang="pl-PL" sz="2400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0" i="1">
                      <a:latin typeface="Cambria Math" panose="02040503050406030204" pitchFamily="18" charset="0"/>
                    </a:rPr>
                    <m:t>100,37</m:t>
                  </m:r>
                  <m:sSup>
                    <m:sSupPr>
                      <m:ctrlPr>
                        <a:rPr lang="pl-PL" sz="24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pl-PL" sz="2400" b="0" i="1">
                          <a:latin typeface="Cambria Math" panose="02040503050406030204" pitchFamily="18" charset="0"/>
                        </a:rPr>
                        <m:t>0,004</m:t>
                      </m:r>
                      <m:r>
                        <a:rPr lang="pl-PL" sz="2400" b="0" i="1">
                          <a:latin typeface="Cambria Math" panose="02040503050406030204" pitchFamily="18" charset="0"/>
                        </a:rPr>
                        <m:t>𝑡</m:t>
                      </m:r>
                    </m:sup>
                  </m:sSup>
                </m:oMath>
              </a14:m>
              <a:endParaRPr lang="pl-PL" sz="2400"/>
            </a:p>
          </xdr:txBody>
        </xdr:sp>
      </mc:Choice>
      <mc:Fallback xmlns="">
        <xdr:sp macro="" textlink="">
          <xdr:nvSpPr>
            <xdr:cNvPr id="12" name="Prostokąt 11">
              <a:extLst>
                <a:ext uri="{FF2B5EF4-FFF2-40B4-BE49-F238E27FC236}">
                  <a16:creationId xmlns:a16="http://schemas.microsoft.com/office/drawing/2014/main" xmlns="" xmlns:a14="http://schemas.microsoft.com/office/drawing/2010/main" id="{1967F5B0-8948-BF43-8242-A1BFEB01011D}"/>
                </a:ext>
              </a:extLst>
            </xdr:cNvPr>
            <xdr:cNvSpPr/>
          </xdr:nvSpPr>
          <xdr:spPr>
            <a:xfrm>
              <a:off x="1421966" y="31196411"/>
              <a:ext cx="7326332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i="0">
                  <a:latin typeface="Arial" panose="020B0604020202020204" pitchFamily="34" charset="0"/>
                </a:rPr>
                <a:t>X</a:t>
              </a:r>
              <a:r>
                <a:rPr lang="pl-PL" sz="2400" i="0" baseline="-25000">
                  <a:latin typeface="Arial" panose="020B0604020202020204" pitchFamily="34" charset="0"/>
                </a:rPr>
                <a:t>3</a:t>
              </a:r>
              <a:r>
                <a:rPr lang="pl-PL" sz="2400" i="0">
                  <a:latin typeface="Cambria Math" panose="02040503050406030204" pitchFamily="18" charset="0"/>
                </a:rPr>
                <a:t>=</a:t>
              </a:r>
              <a:r>
                <a:rPr lang="pl-PL" sz="2400" b="0" i="0">
                  <a:latin typeface="Cambria Math" panose="02040503050406030204" pitchFamily="18" charset="0"/>
                </a:rPr>
                <a:t>100,37𝑒^0,004𝑡</a:t>
              </a:r>
              <a:endParaRPr lang="pl-PL" sz="2400"/>
            </a:p>
          </xdr:txBody>
        </xdr:sp>
      </mc:Fallback>
    </mc:AlternateContent>
    <xdr:clientData/>
  </xdr:twoCellAnchor>
  <xdr:twoCellAnchor>
    <xdr:from>
      <xdr:col>8</xdr:col>
      <xdr:colOff>351693</xdr:colOff>
      <xdr:row>154</xdr:row>
      <xdr:rowOff>202333</xdr:rowOff>
    </xdr:from>
    <xdr:to>
      <xdr:col>13</xdr:col>
      <xdr:colOff>798907</xdr:colOff>
      <xdr:row>167</xdr:row>
      <xdr:rowOff>47328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30B218A7-BE71-4176-6FA7-4D2A26468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10855</xdr:colOff>
      <xdr:row>180</xdr:row>
      <xdr:rowOff>141111</xdr:rowOff>
    </xdr:from>
    <xdr:to>
      <xdr:col>14</xdr:col>
      <xdr:colOff>790241</xdr:colOff>
      <xdr:row>182</xdr:row>
      <xdr:rowOff>112209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Prostokąt 13">
              <a:extLst>
                <a:ext uri="{FF2B5EF4-FFF2-40B4-BE49-F238E27FC236}">
                  <a16:creationId xmlns:a16="http://schemas.microsoft.com/office/drawing/2014/main" id="{51ED440F-11D1-4B4D-95C2-7AC8077C943F}"/>
                </a:ext>
              </a:extLst>
            </xdr:cNvPr>
            <xdr:cNvSpPr/>
          </xdr:nvSpPr>
          <xdr:spPr>
            <a:xfrm>
              <a:off x="4960599" y="38783846"/>
              <a:ext cx="7379044" cy="383577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8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8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  <m:r>
                      <a:rPr lang="pl-PL" sz="18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800" b="0" i="0">
                        <a:latin typeface="Cambria Math" panose="02040503050406030204" pitchFamily="18" charset="0"/>
                      </a:rPr>
                      <m:t>4,62</m:t>
                    </m:r>
                    <m:r>
                      <a:rPr lang="pl-PL" sz="1800">
                        <a:latin typeface="Cambria Math" panose="02040503050406030204" pitchFamily="18" charset="0"/>
                      </a:rPr>
                      <m:t>+</m:t>
                    </m:r>
                    <m:r>
                      <a:rPr lang="pl-PL" sz="1800" b="0" i="1">
                        <a:latin typeface="Cambria Math" panose="02040503050406030204" pitchFamily="18" charset="0"/>
                      </a:rPr>
                      <m:t>0,01∗</m:t>
                    </m:r>
                    <m:sSub>
                      <m:sSubPr>
                        <m:ctrlPr>
                          <a:rPr lang="pl-PL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8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/>
                    </m:sSub>
                  </m:oMath>
                </m:oMathPara>
              </a14:m>
              <a:endParaRPr lang="pl-PL" sz="1800"/>
            </a:p>
          </xdr:txBody>
        </xdr:sp>
      </mc:Choice>
      <mc:Fallback xmlns="">
        <xdr:sp macro="" textlink="">
          <xdr:nvSpPr>
            <xdr:cNvPr id="14" name="Prostokąt 13">
              <a:extLst>
                <a:ext uri="{FF2B5EF4-FFF2-40B4-BE49-F238E27FC236}">
                  <a16:creationId xmlns:a16="http://schemas.microsoft.com/office/drawing/2014/main" xmlns="" xmlns:a14="http://schemas.microsoft.com/office/drawing/2010/main" id="{51ED440F-11D1-4B4D-95C2-7AC8077C943F}"/>
                </a:ext>
              </a:extLst>
            </xdr:cNvPr>
            <xdr:cNvSpPr/>
          </xdr:nvSpPr>
          <xdr:spPr>
            <a:xfrm>
              <a:off x="4960599" y="38783846"/>
              <a:ext cx="7379044" cy="383577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1800" b="0" i="0">
                  <a:latin typeface="Cambria Math" panose="02040503050406030204" pitchFamily="18" charset="0"/>
                </a:rPr>
                <a:t>𝑊 ̂</a:t>
              </a:r>
              <a:r>
                <a:rPr lang="pl-PL" sz="1800" i="0">
                  <a:latin typeface="Cambria Math" panose="02040503050406030204" pitchFamily="18" charset="0"/>
                </a:rPr>
                <a:t>=</a:t>
              </a:r>
              <a:r>
                <a:rPr lang="pl-PL" sz="1800" b="0" i="0">
                  <a:latin typeface="Cambria Math" panose="02040503050406030204" pitchFamily="18" charset="0"/>
                </a:rPr>
                <a:t>4,62</a:t>
              </a:r>
              <a:r>
                <a:rPr lang="pl-PL" sz="1800" i="0">
                  <a:latin typeface="Cambria Math" panose="02040503050406030204" pitchFamily="18" charset="0"/>
                </a:rPr>
                <a:t>+</a:t>
              </a:r>
              <a:r>
                <a:rPr lang="pl-PL" sz="1800" b="0" i="0">
                  <a:latin typeface="Cambria Math" panose="02040503050406030204" pitchFamily="18" charset="0"/>
                </a:rPr>
                <a:t>0,01∗</a:t>
              </a:r>
              <a:r>
                <a:rPr lang="pl-PL" sz="1800" i="0">
                  <a:latin typeface="Cambria Math" panose="02040503050406030204" pitchFamily="18" charset="0"/>
                </a:rPr>
                <a:t>𝑍_</a:t>
              </a:r>
              <a:endParaRPr lang="pl-PL" sz="1800"/>
            </a:p>
          </xdr:txBody>
        </xdr:sp>
      </mc:Fallback>
    </mc:AlternateContent>
    <xdr:clientData/>
  </xdr:twoCellAnchor>
  <xdr:twoCellAnchor>
    <xdr:from>
      <xdr:col>6</xdr:col>
      <xdr:colOff>0</xdr:colOff>
      <xdr:row>186</xdr:row>
      <xdr:rowOff>0</xdr:rowOff>
    </xdr:from>
    <xdr:to>
      <xdr:col>12</xdr:col>
      <xdr:colOff>111185</xdr:colOff>
      <xdr:row>188</xdr:row>
      <xdr:rowOff>159752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Prostokąt 14">
              <a:extLst>
                <a:ext uri="{FF2B5EF4-FFF2-40B4-BE49-F238E27FC236}">
                  <a16:creationId xmlns:a16="http://schemas.microsoft.com/office/drawing/2014/main" id="{DE558874-E4E7-814E-8199-68A63110B0CC}"/>
                </a:ext>
              </a:extLst>
            </xdr:cNvPr>
            <xdr:cNvSpPr/>
          </xdr:nvSpPr>
          <xdr:spPr>
            <a:xfrm>
              <a:off x="4949744" y="39880171"/>
              <a:ext cx="5060928" cy="572231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800" b="1" i="0">
                  <a:latin typeface="Arial" panose="020B0604020202020204" pitchFamily="34" charset="0"/>
                </a:rPr>
                <a:t>X</a:t>
              </a:r>
              <a:r>
                <a:rPr lang="pl-PL" sz="2800" b="1" i="0" baseline="-25000">
                  <a:latin typeface="Arial" panose="020B0604020202020204" pitchFamily="34" charset="0"/>
                </a:rPr>
                <a:t>3</a:t>
              </a:r>
              <a14:m>
                <m:oMath xmlns:m="http://schemas.openxmlformats.org/officeDocument/2006/math">
                  <m:r>
                    <a:rPr lang="pl-PL" sz="2800" b="1" i="1">
                      <a:latin typeface="Cambria Math" panose="02040503050406030204" pitchFamily="18" charset="0"/>
                    </a:rPr>
                    <m:t>=</m:t>
                  </m:r>
                  <m:r>
                    <a:rPr lang="pl-PL" sz="2800" b="1" i="1">
                      <a:latin typeface="Cambria Math" panose="02040503050406030204" pitchFamily="18" charset="0"/>
                    </a:rPr>
                    <m:t>𝟏𝟎𝟏</m:t>
                  </m:r>
                  <m:r>
                    <a:rPr lang="pl-PL" sz="28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800" b="1" i="1">
                      <a:latin typeface="Cambria Math" panose="02040503050406030204" pitchFamily="18" charset="0"/>
                    </a:rPr>
                    <m:t>𝟑𝟒</m:t>
                  </m:r>
                  <m:sSubSup>
                    <m:sSubSupPr>
                      <m:ctrlPr>
                        <a:rPr lang="pl-PL" sz="2800" b="1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pl-PL" sz="28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pl-PL" sz="2800" b="1" i="1">
                          <a:latin typeface="Cambria Math" panose="02040503050406030204" pitchFamily="18" charset="0"/>
                        </a:rPr>
                        <m:t>𝒕</m:t>
                      </m:r>
                    </m:e>
                    <m:sub/>
                    <m:sup>
                      <m:r>
                        <a:rPr lang="pl-PL" sz="2800" b="1" i="1">
                          <a:latin typeface="Cambria Math" panose="02040503050406030204" pitchFamily="18" charset="0"/>
                        </a:rPr>
                        <m:t>𝟎</m:t>
                      </m:r>
                      <m:r>
                        <a:rPr lang="pl-PL" sz="2800" b="1" i="1"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pl-PL" sz="2800" b="1" i="1">
                          <a:latin typeface="Cambria Math" panose="02040503050406030204" pitchFamily="18" charset="0"/>
                        </a:rPr>
                        <m:t>𝟎𝟏</m:t>
                      </m:r>
                    </m:sup>
                  </m:sSubSup>
                </m:oMath>
              </a14:m>
              <a:endParaRPr lang="pl-PL" sz="2800" b="1"/>
            </a:p>
          </xdr:txBody>
        </xdr:sp>
      </mc:Choice>
      <mc:Fallback xmlns="">
        <xdr:sp macro="" textlink="">
          <xdr:nvSpPr>
            <xdr:cNvPr id="15" name="Prostokąt 14">
              <a:extLst>
                <a:ext uri="{FF2B5EF4-FFF2-40B4-BE49-F238E27FC236}">
                  <a16:creationId xmlns:a16="http://schemas.microsoft.com/office/drawing/2014/main" xmlns="" xmlns:a14="http://schemas.microsoft.com/office/drawing/2010/main" id="{DE558874-E4E7-814E-8199-68A63110B0CC}"/>
                </a:ext>
              </a:extLst>
            </xdr:cNvPr>
            <xdr:cNvSpPr/>
          </xdr:nvSpPr>
          <xdr:spPr>
            <a:xfrm>
              <a:off x="4949744" y="39880171"/>
              <a:ext cx="5060928" cy="572231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800" b="1" i="0">
                  <a:latin typeface="Arial" panose="020B0604020202020204" pitchFamily="34" charset="0"/>
                </a:rPr>
                <a:t>X</a:t>
              </a:r>
              <a:r>
                <a:rPr lang="pl-PL" sz="2800" b="1" i="0" baseline="-25000">
                  <a:latin typeface="Arial" panose="020B0604020202020204" pitchFamily="34" charset="0"/>
                </a:rPr>
                <a:t>3</a:t>
              </a:r>
              <a:r>
                <a:rPr lang="pl-PL" sz="2800" b="1" i="0">
                  <a:latin typeface="Cambria Math" panose="02040503050406030204" pitchFamily="18" charset="0"/>
                </a:rPr>
                <a:t>=𝟏𝟎𝟏,𝟑𝟒〖 𝒕〗_^(𝟎,𝟎𝟏)</a:t>
              </a:r>
              <a:endParaRPr lang="pl-PL" sz="2800" b="1"/>
            </a:p>
          </xdr:txBody>
        </xdr:sp>
      </mc:Fallback>
    </mc:AlternateContent>
    <xdr:clientData/>
  </xdr:twoCellAnchor>
  <xdr:twoCellAnchor>
    <xdr:from>
      <xdr:col>1</xdr:col>
      <xdr:colOff>0</xdr:colOff>
      <xdr:row>199</xdr:row>
      <xdr:rowOff>0</xdr:rowOff>
    </xdr:from>
    <xdr:to>
      <xdr:col>7</xdr:col>
      <xdr:colOff>741972</xdr:colOff>
      <xdr:row>200</xdr:row>
      <xdr:rowOff>199768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Prostokąt 15">
              <a:extLst>
                <a:ext uri="{FF2B5EF4-FFF2-40B4-BE49-F238E27FC236}">
                  <a16:creationId xmlns:a16="http://schemas.microsoft.com/office/drawing/2014/main" id="{28FDD835-00C2-B947-9FE4-64121675AB61}"/>
                </a:ext>
              </a:extLst>
            </xdr:cNvPr>
            <xdr:cNvSpPr/>
          </xdr:nvSpPr>
          <xdr:spPr>
            <a:xfrm>
              <a:off x="824957" y="42658974"/>
              <a:ext cx="5691716" cy="40600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3</a:t>
              </a:r>
              <a14:m>
                <m:oMath xmlns:m="http://schemas.openxmlformats.org/officeDocument/2006/math">
                  <m:r>
                    <a:rPr lang="pl-PL" sz="2400" b="1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𝟏𝟎𝟖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𝟏𝟔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−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𝟐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𝟐𝟒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+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𝟎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𝟏𝟔</m:t>
                  </m:r>
                  <m:sSup>
                    <m:sSupPr>
                      <m:ctrlPr>
                        <a:rPr lang="pl-PL" sz="24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𝒕</m:t>
                      </m:r>
                    </m:e>
                    <m:sup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𝟐</m:t>
                      </m:r>
                    </m:sup>
                  </m:sSup>
                </m:oMath>
              </a14:m>
              <a:endParaRPr lang="pl-PL" sz="2400" b="1"/>
            </a:p>
          </xdr:txBody>
        </xdr:sp>
      </mc:Choice>
      <mc:Fallback xmlns="">
        <xdr:sp macro="" textlink="">
          <xdr:nvSpPr>
            <xdr:cNvPr id="16" name="Prostokąt 15">
              <a:extLst>
                <a:ext uri="{FF2B5EF4-FFF2-40B4-BE49-F238E27FC236}">
                  <a16:creationId xmlns:a16="http://schemas.microsoft.com/office/drawing/2014/main" xmlns="" xmlns:a14="http://schemas.microsoft.com/office/drawing/2010/main" id="{28FDD835-00C2-B947-9FE4-64121675AB61}"/>
                </a:ext>
              </a:extLst>
            </xdr:cNvPr>
            <xdr:cNvSpPr/>
          </xdr:nvSpPr>
          <xdr:spPr>
            <a:xfrm>
              <a:off x="824957" y="42658974"/>
              <a:ext cx="5691716" cy="40600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3</a:t>
              </a:r>
              <a:r>
                <a:rPr lang="pl-PL" sz="2400" b="1" i="0">
                  <a:latin typeface="Cambria Math" panose="02040503050406030204" pitchFamily="18" charset="0"/>
                </a:rPr>
                <a:t>=𝟏𝟎𝟖,𝟏𝟔−𝟐,𝟐𝟒𝒕+𝟎,𝟏𝟔𝒕^𝟐</a:t>
              </a:r>
              <a:endParaRPr lang="pl-PL" sz="2400" b="1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3</xdr:row>
      <xdr:rowOff>190500</xdr:rowOff>
    </xdr:from>
    <xdr:to>
      <xdr:col>14</xdr:col>
      <xdr:colOff>133350</xdr:colOff>
      <xdr:row>13</xdr:row>
      <xdr:rowOff>38100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6D50C49-D59D-204E-891F-3E5AEC4DA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6</xdr:col>
      <xdr:colOff>342989</xdr:colOff>
      <xdr:row>26</xdr:row>
      <xdr:rowOff>198227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rostokąt 2">
              <a:extLst>
                <a:ext uri="{FF2B5EF4-FFF2-40B4-BE49-F238E27FC236}">
                  <a16:creationId xmlns:a16="http://schemas.microsoft.com/office/drawing/2014/main" id="{BCDD7763-E138-E74D-BBEA-C62FFB52BA27}"/>
                </a:ext>
              </a:extLst>
            </xdr:cNvPr>
            <xdr:cNvSpPr/>
          </xdr:nvSpPr>
          <xdr:spPr>
            <a:xfrm>
              <a:off x="825500" y="6273800"/>
              <a:ext cx="4470489" cy="401427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000" b="1" i="0">
                  <a:latin typeface="Arial" panose="020B0604020202020204" pitchFamily="34" charset="0"/>
                  <a:ea typeface="Cambria Math" panose="02040503050406030204" pitchFamily="18" charset="0"/>
                </a:rPr>
                <a:t>X</a:t>
              </a:r>
              <a:r>
                <a:rPr lang="pl-PL" sz="2000" b="1" i="0" baseline="-25000">
                  <a:latin typeface="Arial" panose="020B0604020202020204" pitchFamily="34" charset="0"/>
                  <a:ea typeface="Cambria Math" panose="02040503050406030204" pitchFamily="18" charset="0"/>
                </a:rPr>
                <a:t>6</a:t>
              </a:r>
              <a14:m>
                <m:oMath xmlns:m="http://schemas.openxmlformats.org/officeDocument/2006/math"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𝟑𝟑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𝟓𝟒</m:t>
                  </m:r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𝟎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𝟒𝟕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𝒕</m:t>
                  </m:r>
                </m:oMath>
              </a14:m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Prostokąt 2">
              <a:extLst>
                <a:ext uri="{FF2B5EF4-FFF2-40B4-BE49-F238E27FC236}">
                  <a16:creationId xmlns:a16="http://schemas.microsoft.com/office/drawing/2014/main" xmlns="" xmlns:a14="http://schemas.microsoft.com/office/drawing/2010/main" id="{BCDD7763-E138-E74D-BBEA-C62FFB52BA27}"/>
                </a:ext>
              </a:extLst>
            </xdr:cNvPr>
            <xdr:cNvSpPr/>
          </xdr:nvSpPr>
          <xdr:spPr>
            <a:xfrm>
              <a:off x="825500" y="6273800"/>
              <a:ext cx="4470489" cy="401427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000" b="1" i="0">
                  <a:latin typeface="Arial" panose="020B0604020202020204" pitchFamily="34" charset="0"/>
                  <a:ea typeface="Cambria Math" panose="02040503050406030204" pitchFamily="18" charset="0"/>
                </a:rPr>
                <a:t>X</a:t>
              </a:r>
              <a:r>
                <a:rPr lang="pl-PL" sz="2000" b="1" i="0" baseline="-25000">
                  <a:latin typeface="Arial" panose="020B0604020202020204" pitchFamily="34" charset="0"/>
                  <a:ea typeface="Cambria Math" panose="02040503050406030204" pitchFamily="18" charset="0"/>
                </a:rPr>
                <a:t>6</a:t>
              </a:r>
              <a:r>
                <a:rPr lang="pl-PL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=𝟑𝟑,𝟓𝟒+𝟎,𝟒𝟕𝒕</a:t>
              </a:r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8</xdr:col>
      <xdr:colOff>285750</xdr:colOff>
      <xdr:row>35</xdr:row>
      <xdr:rowOff>127000</xdr:rowOff>
    </xdr:from>
    <xdr:to>
      <xdr:col>13</xdr:col>
      <xdr:colOff>730250</xdr:colOff>
      <xdr:row>44</xdr:row>
      <xdr:rowOff>127000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A0F875E5-E2E7-B54F-A21E-42EA51001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59</xdr:row>
      <xdr:rowOff>12700</xdr:rowOff>
    </xdr:from>
    <xdr:to>
      <xdr:col>8</xdr:col>
      <xdr:colOff>754083</xdr:colOff>
      <xdr:row>61</xdr:row>
      <xdr:rowOff>83186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Prostokąt 4">
              <a:extLst>
                <a:ext uri="{FF2B5EF4-FFF2-40B4-BE49-F238E27FC236}">
                  <a16:creationId xmlns:a16="http://schemas.microsoft.com/office/drawing/2014/main" id="{E95858A7-C58F-7E43-9BDA-BF7CB9EDA8B7}"/>
                </a:ext>
              </a:extLst>
            </xdr:cNvPr>
            <xdr:cNvSpPr/>
          </xdr:nvSpPr>
          <xdr:spPr>
            <a:xfrm>
              <a:off x="0" y="14205507"/>
              <a:ext cx="7349171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2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24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pl-PL" sz="24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2400" b="0" i="0">
                        <a:latin typeface="Cambria Math" panose="02040503050406030204" pitchFamily="18" charset="0"/>
                      </a:rPr>
                      <m:t>38,33−</m:t>
                    </m:r>
                    <m:r>
                      <a:rPr lang="pl-PL" sz="2400" b="0" i="1">
                        <a:latin typeface="Cambria Math" panose="02040503050406030204" pitchFamily="18" charset="0"/>
                      </a:rPr>
                      <m:t>3,61∗</m:t>
                    </m:r>
                    <m:r>
                      <a:rPr lang="pl-PL" sz="2400" i="1">
                        <a:latin typeface="Cambria Math" panose="02040503050406030204" pitchFamily="18" charset="0"/>
                      </a:rPr>
                      <m:t>𝑍</m:t>
                    </m:r>
                  </m:oMath>
                </m:oMathPara>
              </a14:m>
              <a:endParaRPr lang="pl-PL" sz="2400"/>
            </a:p>
          </xdr:txBody>
        </xdr:sp>
      </mc:Choice>
      <mc:Fallback xmlns="">
        <xdr:sp macro="" textlink="">
          <xdr:nvSpPr>
            <xdr:cNvPr id="5" name="Prostokąt 4">
              <a:extLst>
                <a:ext uri="{FF2B5EF4-FFF2-40B4-BE49-F238E27FC236}">
                  <a16:creationId xmlns:a16="http://schemas.microsoft.com/office/drawing/2014/main" xmlns="" xmlns:a14="http://schemas.microsoft.com/office/drawing/2010/main" id="{E95858A7-C58F-7E43-9BDA-BF7CB9EDA8B7}"/>
                </a:ext>
              </a:extLst>
            </xdr:cNvPr>
            <xdr:cNvSpPr/>
          </xdr:nvSpPr>
          <xdr:spPr>
            <a:xfrm>
              <a:off x="0" y="14205507"/>
              <a:ext cx="7349171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0" i="0">
                  <a:latin typeface="Cambria Math" panose="02040503050406030204" pitchFamily="18" charset="0"/>
                </a:rPr>
                <a:t>𝑌 ̂</a:t>
              </a:r>
              <a:r>
                <a:rPr lang="pl-PL" sz="2400" i="0">
                  <a:latin typeface="Cambria Math" panose="02040503050406030204" pitchFamily="18" charset="0"/>
                </a:rPr>
                <a:t>=</a:t>
              </a:r>
              <a:r>
                <a:rPr lang="pl-PL" sz="2400" b="0" i="0">
                  <a:latin typeface="Cambria Math" panose="02040503050406030204" pitchFamily="18" charset="0"/>
                </a:rPr>
                <a:t>38,33−3,61∗</a:t>
              </a:r>
              <a:r>
                <a:rPr lang="pl-PL" sz="2400" i="0">
                  <a:latin typeface="Cambria Math" panose="02040503050406030204" pitchFamily="18" charset="0"/>
                </a:rPr>
                <a:t>𝑍</a:t>
              </a:r>
              <a:endParaRPr lang="pl-PL" sz="2400"/>
            </a:p>
          </xdr:txBody>
        </xdr:sp>
      </mc:Fallback>
    </mc:AlternateContent>
    <xdr:clientData/>
  </xdr:twoCellAnchor>
  <xdr:twoCellAnchor>
    <xdr:from>
      <xdr:col>1</xdr:col>
      <xdr:colOff>647700</xdr:colOff>
      <xdr:row>63</xdr:row>
      <xdr:rowOff>177800</xdr:rowOff>
    </xdr:from>
    <xdr:to>
      <xdr:col>6</xdr:col>
      <xdr:colOff>725854</xdr:colOff>
      <xdr:row>68</xdr:row>
      <xdr:rowOff>149127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rostokąt 5">
              <a:extLst>
                <a:ext uri="{FF2B5EF4-FFF2-40B4-BE49-F238E27FC236}">
                  <a16:creationId xmlns:a16="http://schemas.microsoft.com/office/drawing/2014/main" id="{7DE5542E-3B72-E64C-8C28-217AB8701BDF}"/>
                </a:ext>
              </a:extLst>
            </xdr:cNvPr>
            <xdr:cNvSpPr/>
          </xdr:nvSpPr>
          <xdr:spPr>
            <a:xfrm>
              <a:off x="1473200" y="15367000"/>
              <a:ext cx="4205654" cy="987327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6</a:t>
              </a:r>
              <a14:m>
                <m:oMath xmlns:m="http://schemas.openxmlformats.org/officeDocument/2006/math">
                  <m:r>
                    <a:rPr lang="pl-PL" sz="2400" b="1" i="1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𝟑𝟖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𝟑𝟑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−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𝟑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𝟔𝟏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∗</m:t>
                  </m:r>
                  <m:f>
                    <m:fPr>
                      <m:ctrlPr>
                        <a:rPr lang="pl-PL" sz="24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l-PL" sz="24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𝟏</m:t>
                      </m:r>
                    </m:num>
                    <m:den>
                      <m:r>
                        <a:rPr lang="pl-PL" sz="2400" b="1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</a:rPr>
                        <m:t>𝒕</m:t>
                      </m:r>
                    </m:den>
                  </m:f>
                </m:oMath>
              </a14:m>
              <a:endParaRPr lang="pl-PL" sz="2400" b="1"/>
            </a:p>
          </xdr:txBody>
        </xdr:sp>
      </mc:Choice>
      <mc:Fallback xmlns="">
        <xdr:sp macro="" textlink="">
          <xdr:nvSpPr>
            <xdr:cNvPr id="6" name="Prostokąt 5">
              <a:extLst>
                <a:ext uri="{FF2B5EF4-FFF2-40B4-BE49-F238E27FC236}">
                  <a16:creationId xmlns:a16="http://schemas.microsoft.com/office/drawing/2014/main" xmlns="" xmlns:a14="http://schemas.microsoft.com/office/drawing/2010/main" id="{7DE5542E-3B72-E64C-8C28-217AB8701BDF}"/>
                </a:ext>
              </a:extLst>
            </xdr:cNvPr>
            <xdr:cNvSpPr/>
          </xdr:nvSpPr>
          <xdr:spPr>
            <a:xfrm>
              <a:off x="1473200" y="15367000"/>
              <a:ext cx="4205654" cy="987327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6</a:t>
              </a:r>
              <a:r>
                <a:rPr lang="pl-PL" sz="2400" b="1" i="0">
                  <a:latin typeface="Cambria Math" panose="02040503050406030204" pitchFamily="18" charset="0"/>
                </a:rPr>
                <a:t>=𝟑𝟖,𝟑𝟑−𝟑,𝟔𝟏∗</a:t>
              </a:r>
              <a:r>
                <a:rPr lang="pl-PL" sz="24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𝟏/𝒕</a:t>
              </a:r>
              <a:endParaRPr lang="pl-PL" sz="2400" b="1"/>
            </a:p>
          </xdr:txBody>
        </xdr:sp>
      </mc:Fallback>
    </mc:AlternateContent>
    <xdr:clientData/>
  </xdr:twoCellAnchor>
  <xdr:twoCellAnchor>
    <xdr:from>
      <xdr:col>8</xdr:col>
      <xdr:colOff>539750</xdr:colOff>
      <xdr:row>75</xdr:row>
      <xdr:rowOff>355600</xdr:rowOff>
    </xdr:from>
    <xdr:to>
      <xdr:col>14</xdr:col>
      <xdr:colOff>158750</xdr:colOff>
      <xdr:row>84</xdr:row>
      <xdr:rowOff>203200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1304A56A-8283-7247-B904-B27B668E9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100</xdr:row>
      <xdr:rowOff>0</xdr:rowOff>
    </xdr:from>
    <xdr:to>
      <xdr:col>6</xdr:col>
      <xdr:colOff>345702</xdr:colOff>
      <xdr:row>101</xdr:row>
      <xdr:rowOff>195188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Prostokąt 7">
              <a:extLst>
                <a:ext uri="{FF2B5EF4-FFF2-40B4-BE49-F238E27FC236}">
                  <a16:creationId xmlns:a16="http://schemas.microsoft.com/office/drawing/2014/main" id="{CCA7E094-A673-4D43-829C-0C1795089EE6}"/>
                </a:ext>
              </a:extLst>
            </xdr:cNvPr>
            <xdr:cNvSpPr/>
          </xdr:nvSpPr>
          <xdr:spPr>
            <a:xfrm>
              <a:off x="825500" y="23901400"/>
              <a:ext cx="4473202" cy="39838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14:m>
                <m:oMath xmlns:m="http://schemas.openxmlformats.org/officeDocument/2006/math">
                  <m:acc>
                    <m:accPr>
                      <m:chr m:val="̂"/>
                      <m:ctrlPr>
                        <a:rPr lang="pl-PL" sz="20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accPr>
                    <m:e>
                      <m:r>
                        <a:rPr lang="pl-PL" sz="20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𝒀</m:t>
                      </m:r>
                    </m:e>
                  </m:acc>
                  <m:r>
                    <a:rPr lang="pl-PL" sz="2000" b="1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𝟑𝟓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𝟏𝟎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−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𝟎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𝟎𝟓</m:t>
                  </m:r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𝑿</m:t>
                  </m:r>
                </m:oMath>
              </a14:m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+0,03</a:t>
              </a:r>
              <a14:m>
                <m:oMath xmlns:m="http://schemas.openxmlformats.org/officeDocument/2006/math">
                  <m:r>
                    <a:rPr lang="pl-PL" sz="20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𝒁</m:t>
                  </m:r>
                </m:oMath>
              </a14:m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Prostokąt 7">
              <a:extLst>
                <a:ext uri="{FF2B5EF4-FFF2-40B4-BE49-F238E27FC236}">
                  <a16:creationId xmlns:a16="http://schemas.microsoft.com/office/drawing/2014/main" xmlns="" xmlns:a14="http://schemas.microsoft.com/office/drawing/2010/main" id="{CCA7E094-A673-4D43-829C-0C1795089EE6}"/>
                </a:ext>
              </a:extLst>
            </xdr:cNvPr>
            <xdr:cNvSpPr/>
          </xdr:nvSpPr>
          <xdr:spPr>
            <a:xfrm>
              <a:off x="825500" y="23901400"/>
              <a:ext cx="4473202" cy="39838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𝒀 ̂=𝟑𝟓,𝟏𝟎−𝟎,𝟎𝟓𝑿</a:t>
              </a:r>
              <a:r>
                <a:rPr lang="pl-PL" sz="2000">
                  <a:latin typeface="Cambria Math" panose="02040503050406030204" pitchFamily="18" charset="0"/>
                  <a:ea typeface="Cambria Math" panose="02040503050406030204" pitchFamily="18" charset="0"/>
                </a:rPr>
                <a:t> +0,03</a:t>
              </a:r>
              <a:r>
                <a:rPr lang="pl-PL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𝒁</a:t>
              </a:r>
              <a:endParaRPr lang="pl-PL" sz="20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</xdr:col>
      <xdr:colOff>0</xdr:colOff>
      <xdr:row>105</xdr:row>
      <xdr:rowOff>0</xdr:rowOff>
    </xdr:from>
    <xdr:to>
      <xdr:col>7</xdr:col>
      <xdr:colOff>738716</xdr:colOff>
      <xdr:row>106</xdr:row>
      <xdr:rowOff>202808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Prostokąt 8">
              <a:extLst>
                <a:ext uri="{FF2B5EF4-FFF2-40B4-BE49-F238E27FC236}">
                  <a16:creationId xmlns:a16="http://schemas.microsoft.com/office/drawing/2014/main" id="{80A42037-7061-D24D-BAC3-4C35B8E50071}"/>
                </a:ext>
              </a:extLst>
            </xdr:cNvPr>
            <xdr:cNvSpPr/>
          </xdr:nvSpPr>
          <xdr:spPr>
            <a:xfrm>
              <a:off x="825500" y="24917400"/>
              <a:ext cx="5691716" cy="40600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6</a:t>
              </a:r>
              <a14:m>
                <m:oMath xmlns:m="http://schemas.openxmlformats.org/officeDocument/2006/math">
                  <m:r>
                    <a:rPr lang="pl-PL" sz="2400" b="1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𝟑𝟓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𝟏𝟎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−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𝟎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𝟎𝟓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+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𝟎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𝟎𝟑</m:t>
                  </m:r>
                  <m:sSup>
                    <m:sSupPr>
                      <m:ctrlPr>
                        <a:rPr lang="pl-PL" sz="24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𝒕</m:t>
                      </m:r>
                    </m:e>
                    <m:sup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𝟐</m:t>
                      </m:r>
                    </m:sup>
                  </m:sSup>
                </m:oMath>
              </a14:m>
              <a:endParaRPr lang="pl-PL" sz="2400" b="1"/>
            </a:p>
          </xdr:txBody>
        </xdr:sp>
      </mc:Choice>
      <mc:Fallback xmlns="">
        <xdr:sp macro="" textlink="">
          <xdr:nvSpPr>
            <xdr:cNvPr id="9" name="Prostokąt 8">
              <a:extLst>
                <a:ext uri="{FF2B5EF4-FFF2-40B4-BE49-F238E27FC236}">
                  <a16:creationId xmlns:a16="http://schemas.microsoft.com/office/drawing/2014/main" xmlns="" xmlns:a14="http://schemas.microsoft.com/office/drawing/2010/main" id="{80A42037-7061-D24D-BAC3-4C35B8E50071}"/>
                </a:ext>
              </a:extLst>
            </xdr:cNvPr>
            <xdr:cNvSpPr/>
          </xdr:nvSpPr>
          <xdr:spPr>
            <a:xfrm>
              <a:off x="825500" y="24917400"/>
              <a:ext cx="5691716" cy="40600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6</a:t>
              </a:r>
              <a:r>
                <a:rPr lang="pl-PL" sz="2400" b="1" i="0">
                  <a:latin typeface="Cambria Math" panose="02040503050406030204" pitchFamily="18" charset="0"/>
                </a:rPr>
                <a:t>=𝟑𝟓,𝟏𝟎−𝟎,𝟎𝟓𝒕+𝟎,𝟎𝟑𝒕^𝟐</a:t>
              </a:r>
              <a:endParaRPr lang="pl-PL" sz="2400" b="1"/>
            </a:p>
          </xdr:txBody>
        </xdr:sp>
      </mc:Fallback>
    </mc:AlternateContent>
    <xdr:clientData/>
  </xdr:twoCellAnchor>
  <xdr:twoCellAnchor>
    <xdr:from>
      <xdr:col>8</xdr:col>
      <xdr:colOff>349250</xdr:colOff>
      <xdr:row>115</xdr:row>
      <xdr:rowOff>190500</xdr:rowOff>
    </xdr:from>
    <xdr:to>
      <xdr:col>13</xdr:col>
      <xdr:colOff>793750</xdr:colOff>
      <xdr:row>124</xdr:row>
      <xdr:rowOff>203200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79DFC5B7-66EF-474E-9636-713C387CF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139</xdr:row>
      <xdr:rowOff>0</xdr:rowOff>
    </xdr:from>
    <xdr:to>
      <xdr:col>6</xdr:col>
      <xdr:colOff>367468</xdr:colOff>
      <xdr:row>141</xdr:row>
      <xdr:rowOff>70487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Prostokąt 10">
              <a:extLst>
                <a:ext uri="{FF2B5EF4-FFF2-40B4-BE49-F238E27FC236}">
                  <a16:creationId xmlns:a16="http://schemas.microsoft.com/office/drawing/2014/main" id="{0BED37FA-72E0-3241-965B-A5746B304695}"/>
                </a:ext>
              </a:extLst>
            </xdr:cNvPr>
            <xdr:cNvSpPr/>
          </xdr:nvSpPr>
          <xdr:spPr>
            <a:xfrm>
              <a:off x="824386" y="32696930"/>
              <a:ext cx="4489398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2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24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  <m:r>
                      <a:rPr lang="pl-PL" sz="24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2400" b="0" i="0">
                        <a:latin typeface="Cambria Math" panose="02040503050406030204" pitchFamily="18" charset="0"/>
                      </a:rPr>
                      <m:t>3,52+0,</m:t>
                    </m:r>
                    <m:r>
                      <a:rPr lang="pl-PL" sz="2400" b="0" i="1">
                        <a:latin typeface="Cambria Math" panose="02040503050406030204" pitchFamily="18" charset="0"/>
                      </a:rPr>
                      <m:t>01</m:t>
                    </m:r>
                    <m:r>
                      <a:rPr lang="pl-PL" sz="2400" b="0" i="1">
                        <a:latin typeface="Cambria Math" panose="02040503050406030204" pitchFamily="18" charset="0"/>
                      </a:rPr>
                      <m:t>𝑋</m:t>
                    </m:r>
                  </m:oMath>
                </m:oMathPara>
              </a14:m>
              <a:endParaRPr lang="pl-PL" sz="2400"/>
            </a:p>
          </xdr:txBody>
        </xdr:sp>
      </mc:Choice>
      <mc:Fallback xmlns="">
        <xdr:sp macro="" textlink="">
          <xdr:nvSpPr>
            <xdr:cNvPr id="11" name="Prostokąt 10">
              <a:extLst>
                <a:ext uri="{FF2B5EF4-FFF2-40B4-BE49-F238E27FC236}">
                  <a16:creationId xmlns:a16="http://schemas.microsoft.com/office/drawing/2014/main" xmlns="" xmlns:a14="http://schemas.microsoft.com/office/drawing/2010/main" id="{0BED37FA-72E0-3241-965B-A5746B304695}"/>
                </a:ext>
              </a:extLst>
            </xdr:cNvPr>
            <xdr:cNvSpPr/>
          </xdr:nvSpPr>
          <xdr:spPr>
            <a:xfrm>
              <a:off x="824386" y="32696930"/>
              <a:ext cx="4489398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0" i="0">
                  <a:latin typeface="Cambria Math" panose="02040503050406030204" pitchFamily="18" charset="0"/>
                </a:rPr>
                <a:t>𝑊 ̂</a:t>
              </a:r>
              <a:r>
                <a:rPr lang="pl-PL" sz="2400" i="0">
                  <a:latin typeface="Cambria Math" panose="02040503050406030204" pitchFamily="18" charset="0"/>
                </a:rPr>
                <a:t>=</a:t>
              </a:r>
              <a:r>
                <a:rPr lang="pl-PL" sz="2400" b="0" i="0">
                  <a:latin typeface="Cambria Math" panose="02040503050406030204" pitchFamily="18" charset="0"/>
                </a:rPr>
                <a:t>3,52+0,01𝑋</a:t>
              </a:r>
              <a:endParaRPr lang="pl-PL" sz="2400"/>
            </a:p>
          </xdr:txBody>
        </xdr:sp>
      </mc:Fallback>
    </mc:AlternateContent>
    <xdr:clientData/>
  </xdr:twoCellAnchor>
  <xdr:twoCellAnchor>
    <xdr:from>
      <xdr:col>1</xdr:col>
      <xdr:colOff>0</xdr:colOff>
      <xdr:row>144</xdr:row>
      <xdr:rowOff>0</xdr:rowOff>
    </xdr:from>
    <xdr:to>
      <xdr:col>9</xdr:col>
      <xdr:colOff>722332</xdr:colOff>
      <xdr:row>146</xdr:row>
      <xdr:rowOff>65139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Prostokąt 11">
              <a:extLst>
                <a:ext uri="{FF2B5EF4-FFF2-40B4-BE49-F238E27FC236}">
                  <a16:creationId xmlns:a16="http://schemas.microsoft.com/office/drawing/2014/main" id="{7EB40779-4E0B-8D4B-B737-B8588478907D}"/>
                </a:ext>
              </a:extLst>
            </xdr:cNvPr>
            <xdr:cNvSpPr/>
          </xdr:nvSpPr>
          <xdr:spPr>
            <a:xfrm>
              <a:off x="825500" y="34036000"/>
              <a:ext cx="7326332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i="0">
                  <a:latin typeface="Arial" panose="020B0604020202020204" pitchFamily="34" charset="0"/>
                </a:rPr>
                <a:t>X</a:t>
              </a:r>
              <a:r>
                <a:rPr lang="pl-PL" sz="2400" i="0" baseline="-25000">
                  <a:latin typeface="Arial" panose="020B0604020202020204" pitchFamily="34" charset="0"/>
                </a:rPr>
                <a:t>6</a:t>
              </a:r>
              <a14:m>
                <m:oMath xmlns:m="http://schemas.openxmlformats.org/officeDocument/2006/math">
                  <m:r>
                    <a:rPr lang="pl-PL" sz="2400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0" i="1">
                      <a:latin typeface="Cambria Math" panose="02040503050406030204" pitchFamily="18" charset="0"/>
                    </a:rPr>
                    <m:t>33,66</m:t>
                  </m:r>
                  <m:sSup>
                    <m:sSupPr>
                      <m:ctrlPr>
                        <a:rPr lang="pl-PL" sz="24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pl-PL" sz="2400" b="0" i="1">
                          <a:latin typeface="Cambria Math" panose="02040503050406030204" pitchFamily="18" charset="0"/>
                        </a:rPr>
                        <m:t>0,01</m:t>
                      </m:r>
                      <m:r>
                        <a:rPr lang="pl-PL" sz="2400" b="0" i="1">
                          <a:latin typeface="Cambria Math" panose="02040503050406030204" pitchFamily="18" charset="0"/>
                        </a:rPr>
                        <m:t>𝑡</m:t>
                      </m:r>
                    </m:sup>
                  </m:sSup>
                </m:oMath>
              </a14:m>
              <a:endParaRPr lang="pl-PL" sz="2400"/>
            </a:p>
          </xdr:txBody>
        </xdr:sp>
      </mc:Choice>
      <mc:Fallback xmlns="">
        <xdr:sp macro="" textlink="">
          <xdr:nvSpPr>
            <xdr:cNvPr id="12" name="Prostokąt 11">
              <a:extLst>
                <a:ext uri="{FF2B5EF4-FFF2-40B4-BE49-F238E27FC236}">
                  <a16:creationId xmlns:a16="http://schemas.microsoft.com/office/drawing/2014/main" xmlns="" xmlns:a14="http://schemas.microsoft.com/office/drawing/2010/main" id="{7EB40779-4E0B-8D4B-B737-B8588478907D}"/>
                </a:ext>
              </a:extLst>
            </xdr:cNvPr>
            <xdr:cNvSpPr/>
          </xdr:nvSpPr>
          <xdr:spPr>
            <a:xfrm>
              <a:off x="825500" y="34036000"/>
              <a:ext cx="7326332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i="0">
                  <a:latin typeface="Arial" panose="020B0604020202020204" pitchFamily="34" charset="0"/>
                </a:rPr>
                <a:t>X</a:t>
              </a:r>
              <a:r>
                <a:rPr lang="pl-PL" sz="2400" i="0" baseline="-25000">
                  <a:latin typeface="Arial" panose="020B0604020202020204" pitchFamily="34" charset="0"/>
                </a:rPr>
                <a:t>6</a:t>
              </a:r>
              <a:r>
                <a:rPr lang="pl-PL" sz="2400" i="0">
                  <a:latin typeface="Cambria Math" panose="02040503050406030204" pitchFamily="18" charset="0"/>
                </a:rPr>
                <a:t>=</a:t>
              </a:r>
              <a:r>
                <a:rPr lang="pl-PL" sz="2400" b="0" i="0">
                  <a:latin typeface="Cambria Math" panose="02040503050406030204" pitchFamily="18" charset="0"/>
                </a:rPr>
                <a:t>33,66𝑒^0,01𝑡</a:t>
              </a:r>
              <a:endParaRPr lang="pl-PL" sz="2400"/>
            </a:p>
          </xdr:txBody>
        </xdr:sp>
      </mc:Fallback>
    </mc:AlternateContent>
    <xdr:clientData/>
  </xdr:twoCellAnchor>
  <xdr:twoCellAnchor>
    <xdr:from>
      <xdr:col>8</xdr:col>
      <xdr:colOff>355600</xdr:colOff>
      <xdr:row>156</xdr:row>
      <xdr:rowOff>38100</xdr:rowOff>
    </xdr:from>
    <xdr:to>
      <xdr:col>13</xdr:col>
      <xdr:colOff>800100</xdr:colOff>
      <xdr:row>165</xdr:row>
      <xdr:rowOff>50800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F03359A6-2AB8-7247-A5B5-FC604BFF7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179</xdr:row>
      <xdr:rowOff>0</xdr:rowOff>
    </xdr:from>
    <xdr:to>
      <xdr:col>14</xdr:col>
      <xdr:colOff>775044</xdr:colOff>
      <xdr:row>180</xdr:row>
      <xdr:rowOff>180377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Prostokąt 13">
              <a:extLst>
                <a:ext uri="{FF2B5EF4-FFF2-40B4-BE49-F238E27FC236}">
                  <a16:creationId xmlns:a16="http://schemas.microsoft.com/office/drawing/2014/main" id="{4DE67F3A-4B56-E04C-8049-6E9D71FBC477}"/>
                </a:ext>
              </a:extLst>
            </xdr:cNvPr>
            <xdr:cNvSpPr/>
          </xdr:nvSpPr>
          <xdr:spPr>
            <a:xfrm>
              <a:off x="4953000" y="42341800"/>
              <a:ext cx="7379044" cy="383577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pl-PL" sz="18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l-PL" sz="18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  <m:r>
                      <a:rPr lang="pl-PL" sz="18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pl-PL" sz="1800" b="0" i="0">
                        <a:latin typeface="Cambria Math" panose="02040503050406030204" pitchFamily="18" charset="0"/>
                      </a:rPr>
                      <m:t>3,51</m:t>
                    </m:r>
                    <m:r>
                      <a:rPr lang="pl-PL" sz="1800">
                        <a:latin typeface="Cambria Math" panose="02040503050406030204" pitchFamily="18" charset="0"/>
                      </a:rPr>
                      <m:t>+</m:t>
                    </m:r>
                    <m:r>
                      <a:rPr lang="pl-PL" sz="1800" b="0" i="1">
                        <a:latin typeface="Cambria Math" panose="02040503050406030204" pitchFamily="18" charset="0"/>
                      </a:rPr>
                      <m:t>0,06∗</m:t>
                    </m:r>
                    <m:sSub>
                      <m:sSubPr>
                        <m:ctrlPr>
                          <a:rPr lang="pl-PL" sz="1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8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/>
                    </m:sSub>
                  </m:oMath>
                </m:oMathPara>
              </a14:m>
              <a:endParaRPr lang="pl-PL" sz="1800"/>
            </a:p>
          </xdr:txBody>
        </xdr:sp>
      </mc:Choice>
      <mc:Fallback xmlns="">
        <xdr:sp macro="" textlink="">
          <xdr:nvSpPr>
            <xdr:cNvPr id="14" name="Prostokąt 13">
              <a:extLst>
                <a:ext uri="{FF2B5EF4-FFF2-40B4-BE49-F238E27FC236}">
                  <a16:creationId xmlns:a16="http://schemas.microsoft.com/office/drawing/2014/main" xmlns="" xmlns:a14="http://schemas.microsoft.com/office/drawing/2010/main" id="{4DE67F3A-4B56-E04C-8049-6E9D71FBC477}"/>
                </a:ext>
              </a:extLst>
            </xdr:cNvPr>
            <xdr:cNvSpPr/>
          </xdr:nvSpPr>
          <xdr:spPr>
            <a:xfrm>
              <a:off x="4953000" y="42341800"/>
              <a:ext cx="7379044" cy="383577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1800" b="0" i="0">
                  <a:latin typeface="Cambria Math" panose="02040503050406030204" pitchFamily="18" charset="0"/>
                </a:rPr>
                <a:t>𝑊 ̂</a:t>
              </a:r>
              <a:r>
                <a:rPr lang="pl-PL" sz="1800" i="0">
                  <a:latin typeface="Cambria Math" panose="02040503050406030204" pitchFamily="18" charset="0"/>
                </a:rPr>
                <a:t>=</a:t>
              </a:r>
              <a:r>
                <a:rPr lang="pl-PL" sz="1800" b="0" i="0">
                  <a:latin typeface="Cambria Math" panose="02040503050406030204" pitchFamily="18" charset="0"/>
                </a:rPr>
                <a:t>3,51</a:t>
              </a:r>
              <a:r>
                <a:rPr lang="pl-PL" sz="1800" i="0">
                  <a:latin typeface="Cambria Math" panose="02040503050406030204" pitchFamily="18" charset="0"/>
                </a:rPr>
                <a:t>+</a:t>
              </a:r>
              <a:r>
                <a:rPr lang="pl-PL" sz="1800" b="0" i="0">
                  <a:latin typeface="Cambria Math" panose="02040503050406030204" pitchFamily="18" charset="0"/>
                </a:rPr>
                <a:t>0,06∗</a:t>
              </a:r>
              <a:r>
                <a:rPr lang="pl-PL" sz="1800" i="0">
                  <a:latin typeface="Cambria Math" panose="02040503050406030204" pitchFamily="18" charset="0"/>
                </a:rPr>
                <a:t>𝑍_</a:t>
              </a:r>
              <a:endParaRPr lang="pl-PL" sz="1800"/>
            </a:p>
          </xdr:txBody>
        </xdr:sp>
      </mc:Fallback>
    </mc:AlternateContent>
    <xdr:clientData/>
  </xdr:twoCellAnchor>
  <xdr:twoCellAnchor>
    <xdr:from>
      <xdr:col>6</xdr:col>
      <xdr:colOff>0</xdr:colOff>
      <xdr:row>184</xdr:row>
      <xdr:rowOff>0</xdr:rowOff>
    </xdr:from>
    <xdr:to>
      <xdr:col>12</xdr:col>
      <xdr:colOff>107928</xdr:colOff>
      <xdr:row>186</xdr:row>
      <xdr:rowOff>165831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Prostokąt 14">
              <a:extLst>
                <a:ext uri="{FF2B5EF4-FFF2-40B4-BE49-F238E27FC236}">
                  <a16:creationId xmlns:a16="http://schemas.microsoft.com/office/drawing/2014/main" id="{B1D90EE3-6E23-BD4D-984A-ECC79F86732D}"/>
                </a:ext>
              </a:extLst>
            </xdr:cNvPr>
            <xdr:cNvSpPr/>
          </xdr:nvSpPr>
          <xdr:spPr>
            <a:xfrm>
              <a:off x="4953000" y="43357800"/>
              <a:ext cx="5060928" cy="572231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800" b="1" i="0">
                  <a:latin typeface="Arial" panose="020B0604020202020204" pitchFamily="34" charset="0"/>
                </a:rPr>
                <a:t>X</a:t>
              </a:r>
              <a:r>
                <a:rPr lang="pl-PL" sz="2800" b="1" i="0" baseline="-25000">
                  <a:latin typeface="Arial" panose="020B0604020202020204" pitchFamily="34" charset="0"/>
                </a:rPr>
                <a:t>6</a:t>
              </a:r>
              <a14:m>
                <m:oMath xmlns:m="http://schemas.openxmlformats.org/officeDocument/2006/math">
                  <m:r>
                    <a:rPr lang="pl-PL" sz="2800" b="1" i="1">
                      <a:latin typeface="Cambria Math" panose="02040503050406030204" pitchFamily="18" charset="0"/>
                    </a:rPr>
                    <m:t>=</m:t>
                  </m:r>
                  <m:r>
                    <a:rPr lang="pl-PL" sz="2800" b="1" i="1">
                      <a:latin typeface="Cambria Math" panose="02040503050406030204" pitchFamily="18" charset="0"/>
                    </a:rPr>
                    <m:t>𝟑𝟑</m:t>
                  </m:r>
                  <m:r>
                    <a:rPr lang="pl-PL" sz="28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800" b="1" i="1">
                      <a:latin typeface="Cambria Math" panose="02040503050406030204" pitchFamily="18" charset="0"/>
                    </a:rPr>
                    <m:t>𝟓𝟐</m:t>
                  </m:r>
                  <m:sSubSup>
                    <m:sSubSupPr>
                      <m:ctrlPr>
                        <a:rPr lang="pl-PL" sz="2800" b="1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pl-PL" sz="28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pl-PL" sz="2800" b="1" i="1">
                          <a:latin typeface="Cambria Math" panose="02040503050406030204" pitchFamily="18" charset="0"/>
                        </a:rPr>
                        <m:t>𝒕</m:t>
                      </m:r>
                    </m:e>
                    <m:sub/>
                    <m:sup>
                      <m:r>
                        <a:rPr lang="pl-PL" sz="2800" b="1" i="1">
                          <a:latin typeface="Cambria Math" panose="02040503050406030204" pitchFamily="18" charset="0"/>
                        </a:rPr>
                        <m:t>𝟎</m:t>
                      </m:r>
                      <m:r>
                        <a:rPr lang="pl-PL" sz="2800" b="1" i="1"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pl-PL" sz="2800" b="1" i="1">
                          <a:latin typeface="Cambria Math" panose="02040503050406030204" pitchFamily="18" charset="0"/>
                        </a:rPr>
                        <m:t>𝟎𝟔</m:t>
                      </m:r>
                    </m:sup>
                  </m:sSubSup>
                </m:oMath>
              </a14:m>
              <a:endParaRPr lang="pl-PL" sz="2800" b="1"/>
            </a:p>
          </xdr:txBody>
        </xdr:sp>
      </mc:Choice>
      <mc:Fallback xmlns="">
        <xdr:sp macro="" textlink="">
          <xdr:nvSpPr>
            <xdr:cNvPr id="15" name="Prostokąt 14">
              <a:extLst>
                <a:ext uri="{FF2B5EF4-FFF2-40B4-BE49-F238E27FC236}">
                  <a16:creationId xmlns:a16="http://schemas.microsoft.com/office/drawing/2014/main" xmlns="" xmlns:a14="http://schemas.microsoft.com/office/drawing/2010/main" id="{B1D90EE3-6E23-BD4D-984A-ECC79F86732D}"/>
                </a:ext>
              </a:extLst>
            </xdr:cNvPr>
            <xdr:cNvSpPr/>
          </xdr:nvSpPr>
          <xdr:spPr>
            <a:xfrm>
              <a:off x="4953000" y="43357800"/>
              <a:ext cx="5060928" cy="572231"/>
            </a:xfrm>
            <a:prstGeom prst="rect">
              <a:avLst/>
            </a:prstGeom>
            <a:solidFill>
              <a:schemeClr val="bg1"/>
            </a:solidFill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pPr algn="ctr"/>
              <a:r>
                <a:rPr lang="pl-PL" sz="2800" b="1" i="0">
                  <a:latin typeface="Arial" panose="020B0604020202020204" pitchFamily="34" charset="0"/>
                </a:rPr>
                <a:t>X</a:t>
              </a:r>
              <a:r>
                <a:rPr lang="pl-PL" sz="2800" b="1" i="0" baseline="-25000">
                  <a:latin typeface="Arial" panose="020B0604020202020204" pitchFamily="34" charset="0"/>
                </a:rPr>
                <a:t>6</a:t>
              </a:r>
              <a:r>
                <a:rPr lang="pl-PL" sz="2800" b="1" i="0">
                  <a:latin typeface="Cambria Math" panose="02040503050406030204" pitchFamily="18" charset="0"/>
                </a:rPr>
                <a:t>=𝟑𝟑,𝟓𝟐〖 𝒕〗_^(𝟎,𝟎𝟔)</a:t>
              </a:r>
              <a:endParaRPr lang="pl-PL" sz="2800" b="1"/>
            </a:p>
          </xdr:txBody>
        </xdr:sp>
      </mc:Fallback>
    </mc:AlternateContent>
    <xdr:clientData/>
  </xdr:twoCellAnchor>
  <xdr:twoCellAnchor>
    <xdr:from>
      <xdr:col>1</xdr:col>
      <xdr:colOff>0</xdr:colOff>
      <xdr:row>203</xdr:row>
      <xdr:rowOff>0</xdr:rowOff>
    </xdr:from>
    <xdr:to>
      <xdr:col>9</xdr:col>
      <xdr:colOff>722332</xdr:colOff>
      <xdr:row>205</xdr:row>
      <xdr:rowOff>65139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Prostokąt 17">
              <a:extLst>
                <a:ext uri="{FF2B5EF4-FFF2-40B4-BE49-F238E27FC236}">
                  <a16:creationId xmlns:a16="http://schemas.microsoft.com/office/drawing/2014/main" id="{26183F22-8299-4D40-972A-C7B84230B344}"/>
                </a:ext>
              </a:extLst>
            </xdr:cNvPr>
            <xdr:cNvSpPr/>
          </xdr:nvSpPr>
          <xdr:spPr>
            <a:xfrm>
              <a:off x="824386" y="46867456"/>
              <a:ext cx="7317420" cy="466192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i="0">
                  <a:latin typeface="Arial" panose="020B0604020202020204" pitchFamily="34" charset="0"/>
                </a:rPr>
                <a:t>X</a:t>
              </a:r>
              <a:r>
                <a:rPr lang="pl-PL" sz="2400" i="0" baseline="-25000">
                  <a:latin typeface="Arial" panose="020B0604020202020204" pitchFamily="34" charset="0"/>
                </a:rPr>
                <a:t>6</a:t>
              </a:r>
              <a14:m>
                <m:oMath xmlns:m="http://schemas.openxmlformats.org/officeDocument/2006/math">
                  <m:r>
                    <a:rPr lang="pl-PL" sz="2400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0" i="1">
                      <a:latin typeface="Cambria Math" panose="02040503050406030204" pitchFamily="18" charset="0"/>
                    </a:rPr>
                    <m:t>33,66</m:t>
                  </m:r>
                  <m:sSup>
                    <m:sSupPr>
                      <m:ctrlPr>
                        <a:rPr lang="pl-PL" sz="24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pl-PL" sz="2400" b="0" i="1">
                          <a:latin typeface="Cambria Math" panose="02040503050406030204" pitchFamily="18" charset="0"/>
                        </a:rPr>
                        <m:t>0,01</m:t>
                      </m:r>
                      <m:r>
                        <a:rPr lang="pl-PL" sz="2400" b="0" i="1">
                          <a:latin typeface="Cambria Math" panose="02040503050406030204" pitchFamily="18" charset="0"/>
                        </a:rPr>
                        <m:t>𝑡</m:t>
                      </m:r>
                    </m:sup>
                  </m:sSup>
                </m:oMath>
              </a14:m>
              <a:endParaRPr lang="pl-PL" sz="2400"/>
            </a:p>
          </xdr:txBody>
        </xdr:sp>
      </mc:Choice>
      <mc:Fallback xmlns="">
        <xdr:sp macro="" textlink="">
          <xdr:nvSpPr>
            <xdr:cNvPr id="18" name="Prostokąt 17">
              <a:extLst>
                <a:ext uri="{FF2B5EF4-FFF2-40B4-BE49-F238E27FC236}">
                  <a16:creationId xmlns:a16="http://schemas.microsoft.com/office/drawing/2014/main" xmlns="" xmlns:a14="http://schemas.microsoft.com/office/drawing/2010/main" id="{26183F22-8299-4D40-972A-C7B84230B344}"/>
                </a:ext>
              </a:extLst>
            </xdr:cNvPr>
            <xdr:cNvSpPr/>
          </xdr:nvSpPr>
          <xdr:spPr>
            <a:xfrm>
              <a:off x="824386" y="46867456"/>
              <a:ext cx="7317420" cy="466192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i="0">
                  <a:latin typeface="Arial" panose="020B0604020202020204" pitchFamily="34" charset="0"/>
                </a:rPr>
                <a:t>X</a:t>
              </a:r>
              <a:r>
                <a:rPr lang="pl-PL" sz="2400" i="0" baseline="-25000">
                  <a:latin typeface="Arial" panose="020B0604020202020204" pitchFamily="34" charset="0"/>
                </a:rPr>
                <a:t>6</a:t>
              </a:r>
              <a:r>
                <a:rPr lang="pl-PL" sz="2400" i="0">
                  <a:latin typeface="Cambria Math" panose="02040503050406030204" pitchFamily="18" charset="0"/>
                </a:rPr>
                <a:t>=</a:t>
              </a:r>
              <a:r>
                <a:rPr lang="pl-PL" sz="2400" b="0" i="0">
                  <a:latin typeface="Cambria Math" panose="02040503050406030204" pitchFamily="18" charset="0"/>
                </a:rPr>
                <a:t>33,66𝑒^0,01𝑡</a:t>
              </a:r>
              <a:endParaRPr lang="pl-PL" sz="24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4</xdr:row>
      <xdr:rowOff>165100</xdr:rowOff>
    </xdr:from>
    <xdr:to>
      <xdr:col>4</xdr:col>
      <xdr:colOff>660400</xdr:colOff>
      <xdr:row>7</xdr:row>
      <xdr:rowOff>27039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rostokąt 1">
              <a:extLst>
                <a:ext uri="{FF2B5EF4-FFF2-40B4-BE49-F238E27FC236}">
                  <a16:creationId xmlns:a16="http://schemas.microsoft.com/office/drawing/2014/main" id="{DDA4FF31-836B-314A-8414-155F2A70501F}"/>
                </a:ext>
              </a:extLst>
            </xdr:cNvPr>
            <xdr:cNvSpPr/>
          </xdr:nvSpPr>
          <xdr:spPr>
            <a:xfrm>
              <a:off x="1092200" y="1117600"/>
              <a:ext cx="2870200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/>
                <a:t>X</a:t>
              </a:r>
              <a:r>
                <a:rPr lang="pl-PL" sz="2400" b="1" baseline="-25000"/>
                <a:t>1</a:t>
              </a:r>
              <a14:m>
                <m:oMath xmlns:m="http://schemas.openxmlformats.org/officeDocument/2006/math">
                  <m:r>
                    <a:rPr lang="pl-PL" sz="2400" b="1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𝟐𝟖𝟓𝟐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𝟒𝟑</m:t>
                  </m:r>
                  <m:sSup>
                    <m:sSupPr>
                      <m:ctrlPr>
                        <a:rPr lang="pl-PL" sz="24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𝒆</m:t>
                      </m:r>
                    </m:e>
                    <m:sup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𝟎</m:t>
                      </m:r>
                      <m:r>
                        <a:rPr lang="pl-PL" sz="2400" b="1" i="1"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𝟎𝟓</m:t>
                      </m:r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𝒕</m:t>
                      </m:r>
                    </m:sup>
                  </m:sSup>
                </m:oMath>
              </a14:m>
              <a:endParaRPr lang="pl-PL" sz="2400" b="1"/>
            </a:p>
          </xdr:txBody>
        </xdr:sp>
      </mc:Choice>
      <mc:Fallback xmlns="">
        <xdr:sp macro="" textlink="">
          <xdr:nvSpPr>
            <xdr:cNvPr id="2" name="Prostokąt 1">
              <a:extLst>
                <a:ext uri="{FF2B5EF4-FFF2-40B4-BE49-F238E27FC236}">
                  <a16:creationId xmlns:a16="http://schemas.microsoft.com/office/drawing/2014/main" xmlns="" xmlns:a14="http://schemas.microsoft.com/office/drawing/2010/main" id="{DDA4FF31-836B-314A-8414-155F2A70501F}"/>
                </a:ext>
              </a:extLst>
            </xdr:cNvPr>
            <xdr:cNvSpPr/>
          </xdr:nvSpPr>
          <xdr:spPr>
            <a:xfrm>
              <a:off x="1092200" y="1117600"/>
              <a:ext cx="2870200" cy="471539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/>
                <a:t>X</a:t>
              </a:r>
              <a:r>
                <a:rPr lang="pl-PL" sz="2400" b="1" baseline="-25000"/>
                <a:t>1</a:t>
              </a:r>
              <a:r>
                <a:rPr lang="pl-PL" sz="2400" b="1" i="0">
                  <a:latin typeface="Cambria Math" panose="02040503050406030204" pitchFamily="18" charset="0"/>
                </a:rPr>
                <a:t>=𝟐𝟖𝟓𝟐,𝟒𝟑𝒆^(𝟎,𝟎𝟓𝒕)</a:t>
              </a:r>
              <a:endParaRPr lang="pl-PL" sz="2400" b="1"/>
            </a:p>
          </xdr:txBody>
        </xdr:sp>
      </mc:Fallback>
    </mc:AlternateContent>
    <xdr:clientData/>
  </xdr:twoCellAnchor>
  <xdr:twoCellAnchor>
    <xdr:from>
      <xdr:col>1</xdr:col>
      <xdr:colOff>279400</xdr:colOff>
      <xdr:row>7</xdr:row>
      <xdr:rowOff>76200</xdr:rowOff>
    </xdr:from>
    <xdr:to>
      <xdr:col>6</xdr:col>
      <xdr:colOff>495300</xdr:colOff>
      <xdr:row>9</xdr:row>
      <xdr:rowOff>75808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rostokąt 2">
              <a:extLst>
                <a:ext uri="{FF2B5EF4-FFF2-40B4-BE49-F238E27FC236}">
                  <a16:creationId xmlns:a16="http://schemas.microsoft.com/office/drawing/2014/main" id="{A0DC3A98-507A-8A4F-9FB5-373E010ABE3C}"/>
                </a:ext>
              </a:extLst>
            </xdr:cNvPr>
            <xdr:cNvSpPr/>
          </xdr:nvSpPr>
          <xdr:spPr>
            <a:xfrm>
              <a:off x="1104900" y="1638300"/>
              <a:ext cx="4343400" cy="40600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3</a:t>
              </a:r>
              <a14:m>
                <m:oMath xmlns:m="http://schemas.openxmlformats.org/officeDocument/2006/math">
                  <m:r>
                    <a:rPr lang="pl-PL" sz="2400" b="1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𝟏𝟎𝟖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𝟏𝟔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−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𝟐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𝟐𝟒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+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𝟎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𝟏𝟔</m:t>
                  </m:r>
                  <m:sSup>
                    <m:sSupPr>
                      <m:ctrlPr>
                        <a:rPr lang="pl-PL" sz="24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𝒕</m:t>
                      </m:r>
                    </m:e>
                    <m:sup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𝟐</m:t>
                      </m:r>
                    </m:sup>
                  </m:sSup>
                </m:oMath>
              </a14:m>
              <a:endParaRPr lang="pl-PL" sz="2400" b="1"/>
            </a:p>
          </xdr:txBody>
        </xdr:sp>
      </mc:Choice>
      <mc:Fallback xmlns="">
        <xdr:sp macro="" textlink="">
          <xdr:nvSpPr>
            <xdr:cNvPr id="3" name="Prostokąt 2">
              <a:extLst>
                <a:ext uri="{FF2B5EF4-FFF2-40B4-BE49-F238E27FC236}">
                  <a16:creationId xmlns:a16="http://schemas.microsoft.com/office/drawing/2014/main" xmlns="" xmlns:a14="http://schemas.microsoft.com/office/drawing/2010/main" id="{A0DC3A98-507A-8A4F-9FB5-373E010ABE3C}"/>
                </a:ext>
              </a:extLst>
            </xdr:cNvPr>
            <xdr:cNvSpPr/>
          </xdr:nvSpPr>
          <xdr:spPr>
            <a:xfrm>
              <a:off x="1104900" y="1638300"/>
              <a:ext cx="4343400" cy="406008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3</a:t>
              </a:r>
              <a:r>
                <a:rPr lang="pl-PL" sz="2400" b="1" i="0">
                  <a:latin typeface="Cambria Math" panose="02040503050406030204" pitchFamily="18" charset="0"/>
                </a:rPr>
                <a:t>=𝟏𝟎𝟖,𝟏𝟔−𝟐,𝟐𝟒𝒕+𝟎,𝟏𝟔𝒕^𝟐</a:t>
              </a:r>
              <a:endParaRPr lang="pl-PL" sz="2400" b="1"/>
            </a:p>
          </xdr:txBody>
        </xdr:sp>
      </mc:Fallback>
    </mc:AlternateContent>
    <xdr:clientData/>
  </xdr:twoCellAnchor>
  <xdr:twoCellAnchor>
    <xdr:from>
      <xdr:col>1</xdr:col>
      <xdr:colOff>254000</xdr:colOff>
      <xdr:row>10</xdr:row>
      <xdr:rowOff>63500</xdr:rowOff>
    </xdr:from>
    <xdr:to>
      <xdr:col>4</xdr:col>
      <xdr:colOff>266700</xdr:colOff>
      <xdr:row>12</xdr:row>
      <xdr:rowOff>127100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Prostokąt 3">
              <a:extLst>
                <a:ext uri="{FF2B5EF4-FFF2-40B4-BE49-F238E27FC236}">
                  <a16:creationId xmlns:a16="http://schemas.microsoft.com/office/drawing/2014/main" id="{E84028E6-A8EF-B049-9541-E76B22EDF17C}"/>
                </a:ext>
              </a:extLst>
            </xdr:cNvPr>
            <xdr:cNvSpPr/>
          </xdr:nvSpPr>
          <xdr:spPr>
            <a:xfrm>
              <a:off x="1079500" y="2235200"/>
              <a:ext cx="2489200" cy="47000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6</a:t>
              </a:r>
              <a14:m>
                <m:oMath xmlns:m="http://schemas.openxmlformats.org/officeDocument/2006/math">
                  <m:r>
                    <a:rPr lang="pl-PL" sz="2400" b="1" i="0">
                      <a:latin typeface="Cambria Math" panose="02040503050406030204" pitchFamily="18" charset="0"/>
                    </a:rPr>
                    <m:t>=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𝟑𝟑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,</m:t>
                  </m:r>
                  <m:r>
                    <a:rPr lang="pl-PL" sz="2400" b="1" i="1">
                      <a:latin typeface="Cambria Math" panose="02040503050406030204" pitchFamily="18" charset="0"/>
                    </a:rPr>
                    <m:t>𝟔𝟔</m:t>
                  </m:r>
                  <m:sSup>
                    <m:sSupPr>
                      <m:ctrlPr>
                        <a:rPr lang="pl-PL" sz="24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𝒆</m:t>
                      </m:r>
                    </m:e>
                    <m:sup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𝟎</m:t>
                      </m:r>
                      <m:r>
                        <a:rPr lang="pl-PL" sz="2400" b="1" i="1"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𝟎𝟏</m:t>
                      </m:r>
                      <m:r>
                        <a:rPr lang="pl-PL" sz="2400" b="1" i="1">
                          <a:latin typeface="Cambria Math" panose="02040503050406030204" pitchFamily="18" charset="0"/>
                        </a:rPr>
                        <m:t>𝒕</m:t>
                      </m:r>
                    </m:sup>
                  </m:sSup>
                </m:oMath>
              </a14:m>
              <a:endParaRPr lang="pl-PL" sz="2400" b="1"/>
            </a:p>
          </xdr:txBody>
        </xdr:sp>
      </mc:Choice>
      <mc:Fallback xmlns="">
        <xdr:sp macro="" textlink="">
          <xdr:nvSpPr>
            <xdr:cNvPr id="4" name="Prostokąt 3">
              <a:extLst>
                <a:ext uri="{FF2B5EF4-FFF2-40B4-BE49-F238E27FC236}">
                  <a16:creationId xmlns:a16="http://schemas.microsoft.com/office/drawing/2014/main" xmlns="" xmlns:a14="http://schemas.microsoft.com/office/drawing/2010/main" id="{E84028E6-A8EF-B049-9541-E76B22EDF17C}"/>
                </a:ext>
              </a:extLst>
            </xdr:cNvPr>
            <xdr:cNvSpPr/>
          </xdr:nvSpPr>
          <xdr:spPr>
            <a:xfrm>
              <a:off x="1079500" y="2235200"/>
              <a:ext cx="2489200" cy="470000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>
                <a:defRPr lang="pl-PL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lvl9pPr>
            </a:lstStyle>
            <a:p>
              <a:r>
                <a:rPr lang="pl-PL" sz="2400" b="1" i="0">
                  <a:latin typeface="Arial" panose="020B0604020202020204" pitchFamily="34" charset="0"/>
                </a:rPr>
                <a:t>X</a:t>
              </a:r>
              <a:r>
                <a:rPr lang="pl-PL" sz="2400" b="1" i="0" baseline="-25000">
                  <a:latin typeface="Arial" panose="020B0604020202020204" pitchFamily="34" charset="0"/>
                </a:rPr>
                <a:t>6</a:t>
              </a:r>
              <a:r>
                <a:rPr lang="pl-PL" sz="2400" b="1" i="0">
                  <a:latin typeface="Cambria Math" panose="02040503050406030204" pitchFamily="18" charset="0"/>
                </a:rPr>
                <a:t>=𝟑𝟑,𝟔𝟔𝒆^(𝟎,𝟎𝟏𝒕)</a:t>
              </a:r>
              <a:endParaRPr lang="pl-PL" sz="2400" b="1"/>
            </a:p>
          </xdr:txBody>
        </xdr:sp>
      </mc:Fallback>
    </mc:AlternateContent>
    <xdr:clientData/>
  </xdr:twoCellAnchor>
  <xdr:twoCellAnchor editAs="oneCell">
    <xdr:from>
      <xdr:col>8</xdr:col>
      <xdr:colOff>10160</xdr:colOff>
      <xdr:row>3</xdr:row>
      <xdr:rowOff>0</xdr:rowOff>
    </xdr:from>
    <xdr:to>
      <xdr:col>14</xdr:col>
      <xdr:colOff>817880</xdr:colOff>
      <xdr:row>5</xdr:row>
      <xdr:rowOff>99695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ABEE4154-BEBA-447B-54DD-BA84D973B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3840" y="751840"/>
          <a:ext cx="5745480" cy="5060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M58"/>
  <sheetViews>
    <sheetView topLeftCell="A25" workbookViewId="0">
      <selection activeCell="A7" sqref="A7"/>
    </sheetView>
  </sheetViews>
  <sheetFormatPr baseColWidth="10" defaultColWidth="11.5" defaultRowHeight="16" x14ac:dyDescent="0.2"/>
  <cols>
    <col min="1" max="1" width="23.6640625" customWidth="1"/>
  </cols>
  <sheetData>
    <row r="2" spans="1:65" x14ac:dyDescent="0.2">
      <c r="A2" s="9" t="s">
        <v>123</v>
      </c>
      <c r="B2" s="209" t="s">
        <v>169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 t="s">
        <v>170</v>
      </c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 t="s">
        <v>171</v>
      </c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 t="s">
        <v>172</v>
      </c>
      <c r="AY2" s="209"/>
      <c r="AZ2" s="209"/>
      <c r="BA2" s="209"/>
      <c r="BB2" s="209"/>
      <c r="BC2" s="209"/>
      <c r="BD2" s="209"/>
      <c r="BE2" s="209"/>
      <c r="BF2" s="209"/>
      <c r="BG2" s="209"/>
      <c r="BH2" s="209"/>
      <c r="BI2" s="209"/>
      <c r="BJ2" s="209"/>
      <c r="BK2" s="209"/>
      <c r="BL2" s="209"/>
      <c r="BM2" s="209"/>
    </row>
    <row r="3" spans="1:65" x14ac:dyDescent="0.2">
      <c r="A3" t="s">
        <v>199</v>
      </c>
      <c r="B3" s="161" t="s">
        <v>173</v>
      </c>
      <c r="C3" s="161" t="s">
        <v>174</v>
      </c>
      <c r="D3" s="161" t="s">
        <v>175</v>
      </c>
      <c r="E3" s="161" t="s">
        <v>176</v>
      </c>
      <c r="F3" s="161" t="s">
        <v>177</v>
      </c>
      <c r="G3" s="161" t="s">
        <v>178</v>
      </c>
      <c r="H3" s="161" t="s">
        <v>179</v>
      </c>
      <c r="I3" s="161" t="s">
        <v>180</v>
      </c>
      <c r="J3" s="161" t="s">
        <v>181</v>
      </c>
      <c r="K3" s="161" t="s">
        <v>182</v>
      </c>
      <c r="L3" s="161" t="s">
        <v>183</v>
      </c>
      <c r="M3" s="161" t="s">
        <v>184</v>
      </c>
      <c r="N3" s="161" t="s">
        <v>185</v>
      </c>
      <c r="O3" s="161" t="s">
        <v>186</v>
      </c>
      <c r="P3" s="161" t="s">
        <v>187</v>
      </c>
      <c r="Q3" s="161" t="s">
        <v>188</v>
      </c>
      <c r="R3" s="161" t="s">
        <v>173</v>
      </c>
      <c r="S3" s="161" t="s">
        <v>174</v>
      </c>
      <c r="T3" s="161" t="s">
        <v>175</v>
      </c>
      <c r="U3" s="161" t="s">
        <v>176</v>
      </c>
      <c r="V3" s="161" t="s">
        <v>177</v>
      </c>
      <c r="W3" s="161" t="s">
        <v>178</v>
      </c>
      <c r="X3" s="161" t="s">
        <v>179</v>
      </c>
      <c r="Y3" s="161" t="s">
        <v>180</v>
      </c>
      <c r="Z3" s="161" t="s">
        <v>181</v>
      </c>
      <c r="AA3" s="161" t="s">
        <v>182</v>
      </c>
      <c r="AB3" s="161" t="s">
        <v>183</v>
      </c>
      <c r="AC3" s="161" t="s">
        <v>184</v>
      </c>
      <c r="AD3" s="161" t="s">
        <v>185</v>
      </c>
      <c r="AE3" s="161" t="s">
        <v>186</v>
      </c>
      <c r="AF3" s="161" t="s">
        <v>187</v>
      </c>
      <c r="AG3" s="161" t="s">
        <v>188</v>
      </c>
      <c r="AH3" s="161" t="s">
        <v>173</v>
      </c>
      <c r="AI3" s="161" t="s">
        <v>174</v>
      </c>
      <c r="AJ3" s="161" t="s">
        <v>175</v>
      </c>
      <c r="AK3" s="161" t="s">
        <v>176</v>
      </c>
      <c r="AL3" s="161" t="s">
        <v>177</v>
      </c>
      <c r="AM3" s="161" t="s">
        <v>178</v>
      </c>
      <c r="AN3" s="161" t="s">
        <v>179</v>
      </c>
      <c r="AO3" s="161" t="s">
        <v>180</v>
      </c>
      <c r="AP3" s="161" t="s">
        <v>181</v>
      </c>
      <c r="AQ3" s="161" t="s">
        <v>182</v>
      </c>
      <c r="AR3" s="161" t="s">
        <v>183</v>
      </c>
      <c r="AS3" s="161" t="s">
        <v>184</v>
      </c>
      <c r="AT3" s="161" t="s">
        <v>185</v>
      </c>
      <c r="AU3" s="161" t="s">
        <v>186</v>
      </c>
      <c r="AV3" s="161" t="s">
        <v>187</v>
      </c>
      <c r="AW3" s="161" t="s">
        <v>188</v>
      </c>
      <c r="AX3" s="161" t="s">
        <v>173</v>
      </c>
      <c r="AY3" s="161" t="s">
        <v>174</v>
      </c>
      <c r="AZ3" s="161" t="s">
        <v>175</v>
      </c>
      <c r="BA3" s="161" t="s">
        <v>176</v>
      </c>
      <c r="BB3" s="161" t="s">
        <v>177</v>
      </c>
      <c r="BC3" s="161" t="s">
        <v>178</v>
      </c>
      <c r="BD3" s="161" t="s">
        <v>179</v>
      </c>
      <c r="BE3" s="161" t="s">
        <v>180</v>
      </c>
      <c r="BF3" s="161" t="s">
        <v>181</v>
      </c>
      <c r="BG3" s="161" t="s">
        <v>182</v>
      </c>
      <c r="BH3" s="161" t="s">
        <v>183</v>
      </c>
      <c r="BI3" s="161" t="s">
        <v>184</v>
      </c>
      <c r="BJ3" s="161" t="s">
        <v>185</v>
      </c>
      <c r="BK3" s="161" t="s">
        <v>186</v>
      </c>
      <c r="BL3" s="161" t="s">
        <v>187</v>
      </c>
      <c r="BM3" s="161" t="s">
        <v>188</v>
      </c>
    </row>
    <row r="4" spans="1:65" x14ac:dyDescent="0.2">
      <c r="A4" t="s">
        <v>200</v>
      </c>
      <c r="B4" s="161" t="s">
        <v>189</v>
      </c>
      <c r="C4" s="161" t="s">
        <v>189</v>
      </c>
      <c r="D4" s="161" t="s">
        <v>189</v>
      </c>
      <c r="E4" s="161" t="s">
        <v>189</v>
      </c>
      <c r="F4" s="161" t="s">
        <v>189</v>
      </c>
      <c r="G4" s="161" t="s">
        <v>189</v>
      </c>
      <c r="H4" s="161" t="s">
        <v>189</v>
      </c>
      <c r="I4" s="161" t="s">
        <v>189</v>
      </c>
      <c r="J4" s="161" t="s">
        <v>189</v>
      </c>
      <c r="K4" s="161" t="s">
        <v>189</v>
      </c>
      <c r="L4" s="161" t="s">
        <v>189</v>
      </c>
      <c r="M4" s="161" t="s">
        <v>189</v>
      </c>
      <c r="N4" s="161" t="s">
        <v>189</v>
      </c>
      <c r="O4" s="161" t="s">
        <v>189</v>
      </c>
      <c r="P4" s="161" t="s">
        <v>189</v>
      </c>
      <c r="Q4" s="161" t="s">
        <v>189</v>
      </c>
      <c r="R4" s="161" t="s">
        <v>189</v>
      </c>
      <c r="S4" s="161" t="s">
        <v>189</v>
      </c>
      <c r="T4" s="161" t="s">
        <v>189</v>
      </c>
      <c r="U4" s="161" t="s">
        <v>189</v>
      </c>
      <c r="V4" s="161" t="s">
        <v>189</v>
      </c>
      <c r="W4" s="161" t="s">
        <v>189</v>
      </c>
      <c r="X4" s="161" t="s">
        <v>189</v>
      </c>
      <c r="Y4" s="161" t="s">
        <v>189</v>
      </c>
      <c r="Z4" s="161" t="s">
        <v>189</v>
      </c>
      <c r="AA4" s="161" t="s">
        <v>189</v>
      </c>
      <c r="AB4" s="161" t="s">
        <v>189</v>
      </c>
      <c r="AC4" s="161" t="s">
        <v>189</v>
      </c>
      <c r="AD4" s="161" t="s">
        <v>189</v>
      </c>
      <c r="AE4" s="161" t="s">
        <v>189</v>
      </c>
      <c r="AF4" s="161" t="s">
        <v>189</v>
      </c>
      <c r="AG4" s="161" t="s">
        <v>189</v>
      </c>
      <c r="AH4" s="161" t="s">
        <v>189</v>
      </c>
      <c r="AI4" s="161" t="s">
        <v>189</v>
      </c>
      <c r="AJ4" s="161" t="s">
        <v>189</v>
      </c>
      <c r="AK4" s="161" t="s">
        <v>189</v>
      </c>
      <c r="AL4" s="161" t="s">
        <v>189</v>
      </c>
      <c r="AM4" s="161" t="s">
        <v>189</v>
      </c>
      <c r="AN4" s="161" t="s">
        <v>189</v>
      </c>
      <c r="AO4" s="161" t="s">
        <v>189</v>
      </c>
      <c r="AP4" s="161" t="s">
        <v>189</v>
      </c>
      <c r="AQ4" s="161" t="s">
        <v>189</v>
      </c>
      <c r="AR4" s="161" t="s">
        <v>189</v>
      </c>
      <c r="AS4" s="161" t="s">
        <v>189</v>
      </c>
      <c r="AT4" s="161" t="s">
        <v>189</v>
      </c>
      <c r="AU4" s="161" t="s">
        <v>189</v>
      </c>
      <c r="AV4" s="161" t="s">
        <v>189</v>
      </c>
      <c r="AW4" s="161" t="s">
        <v>189</v>
      </c>
      <c r="AX4" s="161" t="s">
        <v>189</v>
      </c>
      <c r="AY4" s="161" t="s">
        <v>189</v>
      </c>
      <c r="AZ4" s="161" t="s">
        <v>189</v>
      </c>
      <c r="BA4" s="161" t="s">
        <v>189</v>
      </c>
      <c r="BB4" s="161" t="s">
        <v>189</v>
      </c>
      <c r="BC4" s="161" t="s">
        <v>189</v>
      </c>
      <c r="BD4" s="161" t="s">
        <v>189</v>
      </c>
      <c r="BE4" s="161" t="s">
        <v>189</v>
      </c>
      <c r="BF4" s="161" t="s">
        <v>189</v>
      </c>
      <c r="BG4" s="161" t="s">
        <v>189</v>
      </c>
      <c r="BH4" s="161" t="s">
        <v>189</v>
      </c>
      <c r="BI4" s="161" t="s">
        <v>189</v>
      </c>
      <c r="BJ4" s="161" t="s">
        <v>189</v>
      </c>
      <c r="BK4" s="161" t="s">
        <v>189</v>
      </c>
      <c r="BL4" s="161" t="s">
        <v>189</v>
      </c>
      <c r="BM4" s="161" t="s">
        <v>189</v>
      </c>
    </row>
    <row r="5" spans="1:65" x14ac:dyDescent="0.2">
      <c r="B5" s="162">
        <v>4150</v>
      </c>
      <c r="C5" s="162">
        <v>4252</v>
      </c>
      <c r="D5" s="162">
        <v>4625</v>
      </c>
      <c r="E5" s="162">
        <v>4447</v>
      </c>
      <c r="F5" s="162">
        <v>4806</v>
      </c>
      <c r="G5" s="162">
        <v>5264</v>
      </c>
      <c r="H5" s="162">
        <v>5615</v>
      </c>
      <c r="I5" s="162">
        <v>5587</v>
      </c>
      <c r="J5" s="162">
        <v>5917</v>
      </c>
      <c r="K5" s="162">
        <v>5600</v>
      </c>
      <c r="L5" s="162">
        <v>5034</v>
      </c>
      <c r="M5" s="162">
        <v>5837</v>
      </c>
      <c r="N5" s="162">
        <v>4970</v>
      </c>
      <c r="O5" s="162">
        <v>5191</v>
      </c>
      <c r="P5" s="162">
        <v>5444</v>
      </c>
      <c r="Q5" s="162">
        <v>5718</v>
      </c>
      <c r="R5" s="162">
        <v>3776</v>
      </c>
      <c r="S5" s="162">
        <v>3817</v>
      </c>
      <c r="T5" s="162">
        <v>3995</v>
      </c>
      <c r="U5" s="162">
        <v>3828</v>
      </c>
      <c r="V5" s="162">
        <v>4266</v>
      </c>
      <c r="W5" s="162">
        <v>4484</v>
      </c>
      <c r="X5" s="162">
        <v>4937</v>
      </c>
      <c r="Y5" s="162">
        <v>5413</v>
      </c>
      <c r="Z5" s="162">
        <v>5728</v>
      </c>
      <c r="AA5" s="162">
        <v>5442</v>
      </c>
      <c r="AB5" s="162">
        <v>5124</v>
      </c>
      <c r="AC5" s="162">
        <v>5829</v>
      </c>
      <c r="AD5" s="162">
        <v>5233</v>
      </c>
      <c r="AE5" s="162">
        <v>5200</v>
      </c>
      <c r="AF5" s="162">
        <v>5592</v>
      </c>
      <c r="AG5" s="162">
        <v>6046</v>
      </c>
      <c r="AH5" s="162">
        <v>2077</v>
      </c>
      <c r="AI5" s="162">
        <v>2028</v>
      </c>
      <c r="AJ5" s="162">
        <v>2088</v>
      </c>
      <c r="AK5" s="162">
        <v>1898</v>
      </c>
      <c r="AL5" s="162">
        <v>1982</v>
      </c>
      <c r="AM5" s="162">
        <v>1880</v>
      </c>
      <c r="AN5" s="162">
        <v>1839</v>
      </c>
      <c r="AO5" s="162">
        <v>1863</v>
      </c>
      <c r="AP5" s="162">
        <v>1889</v>
      </c>
      <c r="AQ5" s="162">
        <v>1812</v>
      </c>
      <c r="AR5" s="162">
        <v>1744</v>
      </c>
      <c r="AS5" s="162">
        <v>2011</v>
      </c>
      <c r="AT5" s="162">
        <v>1542</v>
      </c>
      <c r="AU5" s="162">
        <v>1711</v>
      </c>
      <c r="AV5" s="162">
        <v>1772</v>
      </c>
      <c r="AW5" s="162">
        <v>1809</v>
      </c>
      <c r="AX5" s="162">
        <v>3066</v>
      </c>
      <c r="AY5" s="162">
        <v>3208</v>
      </c>
      <c r="AZ5" s="162">
        <v>3700</v>
      </c>
      <c r="BA5" s="162">
        <v>3713</v>
      </c>
      <c r="BB5" s="162">
        <v>4083</v>
      </c>
      <c r="BC5" s="162">
        <v>4179</v>
      </c>
      <c r="BD5" s="162">
        <v>4934</v>
      </c>
      <c r="BE5" s="162">
        <v>5748</v>
      </c>
      <c r="BF5" s="162">
        <v>6089</v>
      </c>
      <c r="BG5" s="162">
        <v>6271</v>
      </c>
      <c r="BH5" s="162">
        <v>5798</v>
      </c>
      <c r="BI5" s="162">
        <v>6583</v>
      </c>
      <c r="BJ5" s="162">
        <v>6033</v>
      </c>
      <c r="BK5" s="162">
        <v>6687</v>
      </c>
      <c r="BL5" s="162">
        <v>7407</v>
      </c>
      <c r="BM5" s="162">
        <v>8614</v>
      </c>
    </row>
    <row r="6" spans="1:65" x14ac:dyDescent="0.2">
      <c r="B6" s="162">
        <f>B5+R5+AH5+AX5</f>
        <v>13069</v>
      </c>
      <c r="C6" s="162">
        <f t="shared" ref="C6:Q6" si="0">C5+S5+AI5+AY5</f>
        <v>13305</v>
      </c>
      <c r="D6" s="162">
        <f t="shared" si="0"/>
        <v>14408</v>
      </c>
      <c r="E6" s="162">
        <f t="shared" si="0"/>
        <v>13886</v>
      </c>
      <c r="F6" s="162">
        <f t="shared" si="0"/>
        <v>15137</v>
      </c>
      <c r="G6" s="162">
        <f t="shared" si="0"/>
        <v>15807</v>
      </c>
      <c r="H6" s="162">
        <f t="shared" si="0"/>
        <v>17325</v>
      </c>
      <c r="I6" s="162">
        <f t="shared" si="0"/>
        <v>18611</v>
      </c>
      <c r="J6" s="162">
        <f t="shared" si="0"/>
        <v>19623</v>
      </c>
      <c r="K6" s="162">
        <f t="shared" si="0"/>
        <v>19125</v>
      </c>
      <c r="L6" s="162">
        <f t="shared" si="0"/>
        <v>17700</v>
      </c>
      <c r="M6" s="162">
        <f t="shared" si="0"/>
        <v>20260</v>
      </c>
      <c r="N6" s="162">
        <f t="shared" si="0"/>
        <v>17778</v>
      </c>
      <c r="O6" s="162">
        <f t="shared" si="0"/>
        <v>18789</v>
      </c>
      <c r="P6" s="162">
        <f t="shared" si="0"/>
        <v>20215</v>
      </c>
      <c r="Q6" s="162">
        <f t="shared" si="0"/>
        <v>22187</v>
      </c>
    </row>
    <row r="9" spans="1:65" x14ac:dyDescent="0.2">
      <c r="A9" s="9" t="s">
        <v>163</v>
      </c>
      <c r="B9" s="209" t="s">
        <v>190</v>
      </c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</row>
    <row r="10" spans="1:65" x14ac:dyDescent="0.2">
      <c r="A10" t="s">
        <v>201</v>
      </c>
      <c r="B10" s="161" t="s">
        <v>173</v>
      </c>
      <c r="C10" s="161" t="s">
        <v>174</v>
      </c>
      <c r="D10" s="161" t="s">
        <v>175</v>
      </c>
      <c r="E10" s="161" t="s">
        <v>176</v>
      </c>
      <c r="F10" s="161" t="s">
        <v>177</v>
      </c>
      <c r="G10" s="161" t="s">
        <v>178</v>
      </c>
      <c r="H10" s="161" t="s">
        <v>179</v>
      </c>
      <c r="I10" s="161" t="s">
        <v>180</v>
      </c>
      <c r="J10" s="161" t="s">
        <v>181</v>
      </c>
      <c r="K10" s="161" t="s">
        <v>182</v>
      </c>
      <c r="L10" s="161" t="s">
        <v>183</v>
      </c>
      <c r="M10" s="161" t="s">
        <v>184</v>
      </c>
      <c r="N10" s="161" t="s">
        <v>185</v>
      </c>
      <c r="O10" s="161" t="s">
        <v>186</v>
      </c>
      <c r="P10" s="161" t="s">
        <v>187</v>
      </c>
      <c r="Q10" s="161" t="s">
        <v>188</v>
      </c>
    </row>
    <row r="11" spans="1:65" x14ac:dyDescent="0.2">
      <c r="B11" s="161" t="s">
        <v>191</v>
      </c>
      <c r="C11" s="161" t="s">
        <v>191</v>
      </c>
      <c r="D11" s="161" t="s">
        <v>191</v>
      </c>
      <c r="E11" s="161" t="s">
        <v>191</v>
      </c>
      <c r="F11" s="161" t="s">
        <v>191</v>
      </c>
      <c r="G11" s="161" t="s">
        <v>191</v>
      </c>
      <c r="H11" s="161" t="s">
        <v>191</v>
      </c>
      <c r="I11" s="161" t="s">
        <v>191</v>
      </c>
      <c r="J11" s="161" t="s">
        <v>191</v>
      </c>
      <c r="K11" s="161" t="s">
        <v>191</v>
      </c>
      <c r="L11" s="161" t="s">
        <v>191</v>
      </c>
      <c r="M11" s="161" t="s">
        <v>191</v>
      </c>
      <c r="N11" s="161" t="s">
        <v>191</v>
      </c>
      <c r="O11" s="161" t="s">
        <v>191</v>
      </c>
      <c r="P11" s="161" t="s">
        <v>191</v>
      </c>
      <c r="Q11" s="161" t="s">
        <v>191</v>
      </c>
    </row>
    <row r="12" spans="1:65" x14ac:dyDescent="0.2">
      <c r="B12" s="25">
        <v>3158.48</v>
      </c>
      <c r="C12" s="25">
        <v>3315.38</v>
      </c>
      <c r="D12" s="25">
        <v>3435</v>
      </c>
      <c r="E12" s="25">
        <v>3625.21</v>
      </c>
      <c r="F12" s="25">
        <v>3744.38</v>
      </c>
      <c r="G12" s="25">
        <v>3877.43</v>
      </c>
      <c r="H12" s="25">
        <v>4003.99</v>
      </c>
      <c r="I12" s="25">
        <v>4150.8599999999997</v>
      </c>
      <c r="J12" s="25">
        <v>4290.5200000000004</v>
      </c>
      <c r="K12" s="25">
        <v>4527.8900000000003</v>
      </c>
      <c r="L12" s="25">
        <v>4834.76</v>
      </c>
      <c r="M12" s="25">
        <v>5181.63</v>
      </c>
      <c r="N12" s="25">
        <v>5523.32</v>
      </c>
      <c r="O12" s="25">
        <v>6001.02</v>
      </c>
      <c r="P12" s="25">
        <v>6705.62</v>
      </c>
      <c r="Q12" s="25">
        <v>7595.3</v>
      </c>
    </row>
    <row r="15" spans="1:65" x14ac:dyDescent="0.2">
      <c r="A15" s="9" t="s">
        <v>212</v>
      </c>
      <c r="B15" s="209" t="s">
        <v>190</v>
      </c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</row>
    <row r="16" spans="1:65" x14ac:dyDescent="0.2">
      <c r="A16" t="s">
        <v>202</v>
      </c>
      <c r="B16" s="161" t="s">
        <v>173</v>
      </c>
      <c r="C16" s="161" t="s">
        <v>174</v>
      </c>
      <c r="D16" s="161" t="s">
        <v>175</v>
      </c>
      <c r="E16" s="161" t="s">
        <v>176</v>
      </c>
      <c r="F16" s="161" t="s">
        <v>177</v>
      </c>
      <c r="G16" s="161" t="s">
        <v>178</v>
      </c>
      <c r="H16" s="161" t="s">
        <v>179</v>
      </c>
      <c r="I16" s="161" t="s">
        <v>180</v>
      </c>
      <c r="J16" s="161" t="s">
        <v>181</v>
      </c>
      <c r="K16" s="161" t="s">
        <v>182</v>
      </c>
      <c r="L16" s="161" t="s">
        <v>183</v>
      </c>
      <c r="M16" s="161" t="s">
        <v>184</v>
      </c>
      <c r="N16" s="161" t="s">
        <v>185</v>
      </c>
      <c r="O16" s="161" t="s">
        <v>186</v>
      </c>
      <c r="P16" s="161" t="s">
        <v>187</v>
      </c>
      <c r="Q16" s="161" t="s">
        <v>188</v>
      </c>
    </row>
    <row r="17" spans="1:17" x14ac:dyDescent="0.2">
      <c r="B17" s="161" t="s">
        <v>192</v>
      </c>
      <c r="C17" s="161" t="s">
        <v>192</v>
      </c>
      <c r="D17" s="161" t="s">
        <v>192</v>
      </c>
      <c r="E17" s="161" t="s">
        <v>192</v>
      </c>
      <c r="F17" s="161" t="s">
        <v>192</v>
      </c>
      <c r="G17" s="161" t="s">
        <v>192</v>
      </c>
      <c r="H17" s="161" t="s">
        <v>192</v>
      </c>
      <c r="I17" s="161" t="s">
        <v>192</v>
      </c>
      <c r="J17" s="161" t="s">
        <v>192</v>
      </c>
      <c r="K17" s="161" t="s">
        <v>192</v>
      </c>
      <c r="L17" s="161" t="s">
        <v>192</v>
      </c>
      <c r="M17" s="161" t="s">
        <v>192</v>
      </c>
      <c r="N17" s="161" t="s">
        <v>192</v>
      </c>
      <c r="O17" s="161" t="s">
        <v>192</v>
      </c>
      <c r="P17" s="161" t="s">
        <v>192</v>
      </c>
      <c r="Q17" s="161" t="s">
        <v>192</v>
      </c>
    </row>
    <row r="18" spans="1:17" x14ac:dyDescent="0.2">
      <c r="B18" s="26">
        <v>9.5</v>
      </c>
      <c r="C18" s="26">
        <v>12.1</v>
      </c>
      <c r="D18" s="26">
        <v>12.4</v>
      </c>
      <c r="E18" s="26">
        <v>12.5</v>
      </c>
      <c r="F18" s="26">
        <v>13.4</v>
      </c>
      <c r="G18" s="26">
        <v>13.4</v>
      </c>
      <c r="H18" s="26">
        <v>11.4</v>
      </c>
      <c r="I18" s="26">
        <v>9.6999999999999993</v>
      </c>
      <c r="J18" s="26">
        <v>8.1999999999999993</v>
      </c>
      <c r="K18" s="26">
        <v>6.6</v>
      </c>
      <c r="L18" s="26">
        <v>5.8</v>
      </c>
      <c r="M18" s="26">
        <v>5.2</v>
      </c>
      <c r="N18" s="26">
        <v>6.3</v>
      </c>
      <c r="O18" s="26">
        <v>5.8</v>
      </c>
      <c r="P18" s="26">
        <v>5.2</v>
      </c>
      <c r="Q18" s="26">
        <v>5.0999999999999996</v>
      </c>
    </row>
    <row r="21" spans="1:17" x14ac:dyDescent="0.2">
      <c r="A21" s="9" t="s">
        <v>213</v>
      </c>
      <c r="B21" s="209" t="s">
        <v>190</v>
      </c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</row>
    <row r="22" spans="1:17" x14ac:dyDescent="0.2">
      <c r="A22" t="s">
        <v>203</v>
      </c>
      <c r="B22" s="161" t="s">
        <v>173</v>
      </c>
      <c r="C22" s="161" t="s">
        <v>174</v>
      </c>
      <c r="D22" s="161" t="s">
        <v>175</v>
      </c>
      <c r="E22" s="161" t="s">
        <v>176</v>
      </c>
      <c r="F22" s="161" t="s">
        <v>177</v>
      </c>
      <c r="G22" s="161" t="s">
        <v>178</v>
      </c>
      <c r="H22" s="161" t="s">
        <v>179</v>
      </c>
      <c r="I22" s="161" t="s">
        <v>180</v>
      </c>
      <c r="J22" s="161" t="s">
        <v>181</v>
      </c>
      <c r="K22" s="161" t="s">
        <v>182</v>
      </c>
      <c r="L22" s="161" t="s">
        <v>183</v>
      </c>
      <c r="M22" s="161" t="s">
        <v>184</v>
      </c>
      <c r="N22" s="161" t="s">
        <v>185</v>
      </c>
      <c r="O22" s="161" t="s">
        <v>186</v>
      </c>
      <c r="P22" s="161" t="s">
        <v>187</v>
      </c>
      <c r="Q22" s="161" t="s">
        <v>188</v>
      </c>
    </row>
    <row r="23" spans="1:17" x14ac:dyDescent="0.2">
      <c r="B23" s="161" t="s">
        <v>193</v>
      </c>
      <c r="C23" s="161" t="s">
        <v>193</v>
      </c>
      <c r="D23" s="161" t="s">
        <v>193</v>
      </c>
      <c r="E23" s="161" t="s">
        <v>193</v>
      </c>
      <c r="F23" s="161" t="s">
        <v>193</v>
      </c>
      <c r="G23" s="161" t="s">
        <v>193</v>
      </c>
      <c r="H23" s="161" t="s">
        <v>193</v>
      </c>
      <c r="I23" s="161" t="s">
        <v>193</v>
      </c>
      <c r="J23" s="161" t="s">
        <v>193</v>
      </c>
      <c r="K23" s="161" t="s">
        <v>193</v>
      </c>
      <c r="L23" s="161" t="s">
        <v>193</v>
      </c>
      <c r="M23" s="161" t="s">
        <v>193</v>
      </c>
      <c r="N23" s="161" t="s">
        <v>193</v>
      </c>
      <c r="O23" s="161" t="s">
        <v>193</v>
      </c>
      <c r="P23" s="161" t="s">
        <v>193</v>
      </c>
      <c r="Q23" s="161" t="s">
        <v>193</v>
      </c>
    </row>
    <row r="24" spans="1:17" x14ac:dyDescent="0.2">
      <c r="B24" s="26">
        <v>104.2</v>
      </c>
      <c r="C24" s="26">
        <v>103.5</v>
      </c>
      <c r="D24" s="26">
        <v>102.6</v>
      </c>
      <c r="E24" s="26">
        <v>104.3</v>
      </c>
      <c r="F24" s="26">
        <v>103.7</v>
      </c>
      <c r="G24" s="26">
        <v>100.9</v>
      </c>
      <c r="H24" s="26">
        <v>100</v>
      </c>
      <c r="I24" s="26">
        <v>99.1</v>
      </c>
      <c r="J24" s="26">
        <v>99.4</v>
      </c>
      <c r="K24" s="26">
        <v>102</v>
      </c>
      <c r="L24" s="26">
        <v>101.6</v>
      </c>
      <c r="M24" s="26">
        <v>102.3</v>
      </c>
      <c r="N24" s="26">
        <v>103.4</v>
      </c>
      <c r="O24" s="26">
        <v>105.1</v>
      </c>
      <c r="P24" s="26">
        <v>114.4</v>
      </c>
      <c r="Q24" s="26">
        <v>111.4</v>
      </c>
    </row>
    <row r="27" spans="1:17" x14ac:dyDescent="0.2">
      <c r="A27" s="9" t="s">
        <v>211</v>
      </c>
      <c r="B27" s="209" t="s">
        <v>194</v>
      </c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</row>
    <row r="28" spans="1:17" x14ac:dyDescent="0.2">
      <c r="A28" t="s">
        <v>204</v>
      </c>
      <c r="B28" s="161" t="s">
        <v>173</v>
      </c>
      <c r="C28" s="161" t="s">
        <v>174</v>
      </c>
      <c r="D28" s="161" t="s">
        <v>175</v>
      </c>
      <c r="E28" s="161" t="s">
        <v>176</v>
      </c>
      <c r="F28" s="161" t="s">
        <v>177</v>
      </c>
      <c r="G28" s="161" t="s">
        <v>178</v>
      </c>
      <c r="H28" s="161" t="s">
        <v>179</v>
      </c>
      <c r="I28" s="161" t="s">
        <v>180</v>
      </c>
      <c r="J28" s="161" t="s">
        <v>181</v>
      </c>
      <c r="K28" s="161" t="s">
        <v>182</v>
      </c>
      <c r="L28" s="161" t="s">
        <v>183</v>
      </c>
      <c r="M28" s="161" t="s">
        <v>184</v>
      </c>
      <c r="N28" s="161" t="s">
        <v>185</v>
      </c>
      <c r="O28" s="161" t="s">
        <v>186</v>
      </c>
      <c r="P28" s="161" t="s">
        <v>187</v>
      </c>
      <c r="Q28" s="161" t="s">
        <v>188</v>
      </c>
    </row>
    <row r="29" spans="1:17" x14ac:dyDescent="0.2">
      <c r="B29" s="161" t="s">
        <v>195</v>
      </c>
      <c r="C29" s="161" t="s">
        <v>195</v>
      </c>
      <c r="D29" s="161" t="s">
        <v>195</v>
      </c>
      <c r="E29" s="161" t="s">
        <v>195</v>
      </c>
      <c r="F29" s="161" t="s">
        <v>195</v>
      </c>
      <c r="G29" s="161" t="s">
        <v>195</v>
      </c>
      <c r="H29" s="161" t="s">
        <v>195</v>
      </c>
      <c r="I29" s="161" t="s">
        <v>195</v>
      </c>
      <c r="J29" s="161" t="s">
        <v>195</v>
      </c>
      <c r="K29" s="161" t="s">
        <v>195</v>
      </c>
      <c r="L29" s="161" t="s">
        <v>195</v>
      </c>
      <c r="M29" s="161" t="s">
        <v>195</v>
      </c>
      <c r="N29" s="161" t="s">
        <v>195</v>
      </c>
      <c r="O29" s="161" t="s">
        <v>195</v>
      </c>
      <c r="P29" s="161" t="s">
        <v>195</v>
      </c>
      <c r="Q29" s="161" t="s">
        <v>195</v>
      </c>
    </row>
    <row r="30" spans="1:17" x14ac:dyDescent="0.2">
      <c r="B30" s="26">
        <v>122</v>
      </c>
      <c r="C30" s="26">
        <v>122.1</v>
      </c>
      <c r="D30" s="26">
        <v>123.2</v>
      </c>
      <c r="E30" s="26">
        <v>123.3</v>
      </c>
      <c r="F30" s="26">
        <v>123.2</v>
      </c>
      <c r="G30" s="26">
        <v>123.1</v>
      </c>
      <c r="H30" s="26">
        <v>123.1</v>
      </c>
      <c r="I30" s="26">
        <v>122.9</v>
      </c>
      <c r="J30" s="26">
        <v>122.9</v>
      </c>
      <c r="K30" s="26">
        <v>122.9</v>
      </c>
      <c r="L30" s="26">
        <v>122.8</v>
      </c>
      <c r="M30" s="26">
        <v>122.7</v>
      </c>
      <c r="N30" s="26">
        <v>121.8</v>
      </c>
      <c r="O30" s="26">
        <v>121.2</v>
      </c>
      <c r="P30" s="26">
        <v>120.8</v>
      </c>
      <c r="Q30" s="26">
        <v>119.9</v>
      </c>
    </row>
    <row r="33" spans="1:49" x14ac:dyDescent="0.2">
      <c r="B33" s="209" t="s">
        <v>190</v>
      </c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</row>
    <row r="34" spans="1:49" x14ac:dyDescent="0.2">
      <c r="A34" t="s">
        <v>205</v>
      </c>
      <c r="B34" s="209" t="s">
        <v>190</v>
      </c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</row>
    <row r="35" spans="1:49" x14ac:dyDescent="0.2">
      <c r="B35" s="161" t="s">
        <v>173</v>
      </c>
      <c r="C35" s="161" t="s">
        <v>174</v>
      </c>
      <c r="D35" s="161" t="s">
        <v>175</v>
      </c>
      <c r="E35" s="161" t="s">
        <v>176</v>
      </c>
      <c r="F35" s="161" t="s">
        <v>177</v>
      </c>
      <c r="G35" s="161" t="s">
        <v>178</v>
      </c>
      <c r="H35" s="161" t="s">
        <v>179</v>
      </c>
      <c r="I35" s="161" t="s">
        <v>180</v>
      </c>
      <c r="J35" s="161" t="s">
        <v>181</v>
      </c>
      <c r="K35" s="161" t="s">
        <v>182</v>
      </c>
      <c r="L35" s="161" t="s">
        <v>183</v>
      </c>
      <c r="M35" s="161" t="s">
        <v>184</v>
      </c>
      <c r="N35" s="161" t="s">
        <v>185</v>
      </c>
      <c r="O35" s="161" t="s">
        <v>186</v>
      </c>
      <c r="P35" s="161" t="s">
        <v>187</v>
      </c>
      <c r="Q35" s="161" t="s">
        <v>188</v>
      </c>
    </row>
    <row r="36" spans="1:49" x14ac:dyDescent="0.2">
      <c r="B36" s="161" t="s">
        <v>195</v>
      </c>
      <c r="C36" s="161" t="s">
        <v>195</v>
      </c>
      <c r="D36" s="161" t="s">
        <v>195</v>
      </c>
      <c r="E36" s="161" t="s">
        <v>195</v>
      </c>
      <c r="F36" s="161" t="s">
        <v>195</v>
      </c>
      <c r="G36" s="161" t="s">
        <v>195</v>
      </c>
      <c r="H36" s="161" t="s">
        <v>195</v>
      </c>
      <c r="I36" s="161" t="s">
        <v>195</v>
      </c>
      <c r="J36" s="161" t="s">
        <v>195</v>
      </c>
      <c r="K36" s="161" t="s">
        <v>195</v>
      </c>
      <c r="L36" s="161" t="s">
        <v>195</v>
      </c>
      <c r="M36" s="161" t="s">
        <v>195</v>
      </c>
      <c r="N36" s="161" t="s">
        <v>195</v>
      </c>
      <c r="O36" s="161" t="s">
        <v>195</v>
      </c>
      <c r="P36" s="161" t="s">
        <v>195</v>
      </c>
      <c r="Q36" s="161" t="s">
        <v>195</v>
      </c>
    </row>
    <row r="37" spans="1:49" x14ac:dyDescent="0.2">
      <c r="B37" s="162">
        <v>38135876</v>
      </c>
      <c r="C37" s="162">
        <v>38167329</v>
      </c>
      <c r="D37" s="162">
        <v>38529866</v>
      </c>
      <c r="E37" s="162">
        <v>38538447</v>
      </c>
      <c r="F37" s="162">
        <v>38533299</v>
      </c>
      <c r="G37" s="162">
        <v>38495659</v>
      </c>
      <c r="H37" s="162">
        <v>38478602</v>
      </c>
      <c r="I37" s="162">
        <v>38437239</v>
      </c>
      <c r="J37" s="162">
        <v>38432992</v>
      </c>
      <c r="K37" s="162">
        <v>38433558</v>
      </c>
      <c r="L37" s="162">
        <v>38411148</v>
      </c>
      <c r="M37" s="162">
        <v>38382576</v>
      </c>
      <c r="N37" s="162">
        <v>38088564</v>
      </c>
      <c r="O37" s="162">
        <v>37907704</v>
      </c>
      <c r="P37" s="162">
        <v>37766327</v>
      </c>
      <c r="Q37" s="162">
        <v>37636508</v>
      </c>
    </row>
    <row r="40" spans="1:49" x14ac:dyDescent="0.2">
      <c r="B40" s="209" t="s">
        <v>196</v>
      </c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 t="s">
        <v>197</v>
      </c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 t="s">
        <v>198</v>
      </c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09"/>
    </row>
    <row r="41" spans="1:49" x14ac:dyDescent="0.2">
      <c r="A41" t="s">
        <v>206</v>
      </c>
      <c r="B41" s="209" t="s">
        <v>190</v>
      </c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 t="s">
        <v>190</v>
      </c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 t="s">
        <v>190</v>
      </c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09"/>
    </row>
    <row r="42" spans="1:49" x14ac:dyDescent="0.2">
      <c r="B42" s="161" t="s">
        <v>173</v>
      </c>
      <c r="C42" s="161" t="s">
        <v>174</v>
      </c>
      <c r="D42" s="161" t="s">
        <v>175</v>
      </c>
      <c r="E42" s="161" t="s">
        <v>176</v>
      </c>
      <c r="F42" s="161" t="s">
        <v>177</v>
      </c>
      <c r="G42" s="161" t="s">
        <v>178</v>
      </c>
      <c r="H42" s="161" t="s">
        <v>179</v>
      </c>
      <c r="I42" s="161" t="s">
        <v>180</v>
      </c>
      <c r="J42" s="161" t="s">
        <v>181</v>
      </c>
      <c r="K42" s="161" t="s">
        <v>182</v>
      </c>
      <c r="L42" s="161" t="s">
        <v>183</v>
      </c>
      <c r="M42" s="161" t="s">
        <v>184</v>
      </c>
      <c r="N42" s="161" t="s">
        <v>185</v>
      </c>
      <c r="O42" s="161" t="s">
        <v>186</v>
      </c>
      <c r="P42" s="161" t="s">
        <v>187</v>
      </c>
      <c r="Q42" s="161" t="s">
        <v>188</v>
      </c>
      <c r="R42" s="161" t="s">
        <v>173</v>
      </c>
      <c r="S42" s="161" t="s">
        <v>174</v>
      </c>
      <c r="T42" s="161" t="s">
        <v>175</v>
      </c>
      <c r="U42" s="161" t="s">
        <v>176</v>
      </c>
      <c r="V42" s="161" t="s">
        <v>177</v>
      </c>
      <c r="W42" s="161" t="s">
        <v>178</v>
      </c>
      <c r="X42" s="161" t="s">
        <v>179</v>
      </c>
      <c r="Y42" s="161" t="s">
        <v>180</v>
      </c>
      <c r="Z42" s="161" t="s">
        <v>181</v>
      </c>
      <c r="AA42" s="161" t="s">
        <v>182</v>
      </c>
      <c r="AB42" s="161" t="s">
        <v>183</v>
      </c>
      <c r="AC42" s="161" t="s">
        <v>184</v>
      </c>
      <c r="AD42" s="161" t="s">
        <v>185</v>
      </c>
      <c r="AE42" s="161" t="s">
        <v>186</v>
      </c>
      <c r="AF42" s="161" t="s">
        <v>187</v>
      </c>
      <c r="AG42" s="161" t="s">
        <v>188</v>
      </c>
      <c r="AH42" s="161" t="s">
        <v>173</v>
      </c>
      <c r="AI42" s="161" t="s">
        <v>174</v>
      </c>
      <c r="AJ42" s="161" t="s">
        <v>175</v>
      </c>
      <c r="AK42" s="161" t="s">
        <v>176</v>
      </c>
      <c r="AL42" s="161" t="s">
        <v>177</v>
      </c>
      <c r="AM42" s="161" t="s">
        <v>178</v>
      </c>
      <c r="AN42" s="161" t="s">
        <v>179</v>
      </c>
      <c r="AO42" s="161" t="s">
        <v>180</v>
      </c>
      <c r="AP42" s="161" t="s">
        <v>181</v>
      </c>
      <c r="AQ42" s="161" t="s">
        <v>182</v>
      </c>
      <c r="AR42" s="161" t="s">
        <v>183</v>
      </c>
      <c r="AS42" s="161" t="s">
        <v>184</v>
      </c>
      <c r="AT42" s="161" t="s">
        <v>185</v>
      </c>
      <c r="AU42" s="161" t="s">
        <v>186</v>
      </c>
      <c r="AV42" s="161" t="s">
        <v>187</v>
      </c>
      <c r="AW42" s="161" t="s">
        <v>188</v>
      </c>
    </row>
    <row r="43" spans="1:49" x14ac:dyDescent="0.2">
      <c r="B43" s="161" t="s">
        <v>195</v>
      </c>
      <c r="C43" s="161" t="s">
        <v>195</v>
      </c>
      <c r="D43" s="161" t="s">
        <v>195</v>
      </c>
      <c r="E43" s="161" t="s">
        <v>195</v>
      </c>
      <c r="F43" s="161" t="s">
        <v>195</v>
      </c>
      <c r="G43" s="161" t="s">
        <v>195</v>
      </c>
      <c r="H43" s="161" t="s">
        <v>195</v>
      </c>
      <c r="I43" s="161" t="s">
        <v>195</v>
      </c>
      <c r="J43" s="161" t="s">
        <v>195</v>
      </c>
      <c r="K43" s="161" t="s">
        <v>195</v>
      </c>
      <c r="L43" s="161" t="s">
        <v>195</v>
      </c>
      <c r="M43" s="161" t="s">
        <v>195</v>
      </c>
      <c r="N43" s="161" t="s">
        <v>195</v>
      </c>
      <c r="O43" s="161" t="s">
        <v>195</v>
      </c>
      <c r="P43" s="161" t="s">
        <v>195</v>
      </c>
      <c r="Q43" s="161" t="s">
        <v>195</v>
      </c>
      <c r="R43" s="161" t="s">
        <v>195</v>
      </c>
      <c r="S43" s="161" t="s">
        <v>195</v>
      </c>
      <c r="T43" s="161" t="s">
        <v>195</v>
      </c>
      <c r="U43" s="161" t="s">
        <v>195</v>
      </c>
      <c r="V43" s="161" t="s">
        <v>195</v>
      </c>
      <c r="W43" s="161" t="s">
        <v>195</v>
      </c>
      <c r="X43" s="161" t="s">
        <v>195</v>
      </c>
      <c r="Y43" s="161" t="s">
        <v>195</v>
      </c>
      <c r="Z43" s="161" t="s">
        <v>195</v>
      </c>
      <c r="AA43" s="161" t="s">
        <v>195</v>
      </c>
      <c r="AB43" s="161" t="s">
        <v>195</v>
      </c>
      <c r="AC43" s="161" t="s">
        <v>195</v>
      </c>
      <c r="AD43" s="161" t="s">
        <v>195</v>
      </c>
      <c r="AE43" s="161" t="s">
        <v>195</v>
      </c>
      <c r="AF43" s="161" t="s">
        <v>195</v>
      </c>
      <c r="AG43" s="161" t="s">
        <v>195</v>
      </c>
      <c r="AH43" s="161" t="s">
        <v>195</v>
      </c>
      <c r="AI43" s="161" t="s">
        <v>195</v>
      </c>
      <c r="AJ43" s="161" t="s">
        <v>195</v>
      </c>
      <c r="AK43" s="161" t="s">
        <v>195</v>
      </c>
      <c r="AL43" s="161" t="s">
        <v>195</v>
      </c>
      <c r="AM43" s="161" t="s">
        <v>195</v>
      </c>
      <c r="AN43" s="161" t="s">
        <v>195</v>
      </c>
      <c r="AO43" s="161" t="s">
        <v>195</v>
      </c>
      <c r="AP43" s="161" t="s">
        <v>195</v>
      </c>
      <c r="AQ43" s="161" t="s">
        <v>195</v>
      </c>
      <c r="AR43" s="161" t="s">
        <v>195</v>
      </c>
      <c r="AS43" s="161" t="s">
        <v>195</v>
      </c>
      <c r="AT43" s="161" t="s">
        <v>195</v>
      </c>
      <c r="AU43" s="161" t="s">
        <v>195</v>
      </c>
      <c r="AV43" s="161" t="s">
        <v>195</v>
      </c>
      <c r="AW43" s="161" t="s">
        <v>195</v>
      </c>
    </row>
    <row r="44" spans="1:49" x14ac:dyDescent="0.2">
      <c r="B44" s="162">
        <v>2620293</v>
      </c>
      <c r="C44" s="162">
        <v>2529063</v>
      </c>
      <c r="D44" s="162">
        <v>2424340</v>
      </c>
      <c r="E44" s="162">
        <v>2314724</v>
      </c>
      <c r="F44" s="162">
        <v>2218662</v>
      </c>
      <c r="G44" s="162">
        <v>2124309</v>
      </c>
      <c r="H44" s="162">
        <v>2038497</v>
      </c>
      <c r="I44" s="162">
        <v>1977716</v>
      </c>
      <c r="J44" s="162">
        <v>1919766</v>
      </c>
      <c r="K44" s="162">
        <v>1865736</v>
      </c>
      <c r="L44" s="162">
        <v>1824993</v>
      </c>
      <c r="M44" s="162">
        <v>1801920</v>
      </c>
      <c r="N44" s="162">
        <v>1762933</v>
      </c>
      <c r="O44" s="162">
        <v>1778895</v>
      </c>
      <c r="P44" s="162">
        <v>1827410</v>
      </c>
      <c r="Q44" s="162">
        <v>1909096</v>
      </c>
      <c r="R44" s="162">
        <v>3076737</v>
      </c>
      <c r="S44" s="162">
        <v>2957225</v>
      </c>
      <c r="T44" s="162">
        <v>2848527</v>
      </c>
      <c r="U44" s="162">
        <v>2775143</v>
      </c>
      <c r="V44" s="162">
        <v>2697005</v>
      </c>
      <c r="W44" s="162">
        <v>2610442</v>
      </c>
      <c r="X44" s="162">
        <v>2522308</v>
      </c>
      <c r="Y44" s="162">
        <v>2411283</v>
      </c>
      <c r="Z44" s="162">
        <v>2302001</v>
      </c>
      <c r="AA44" s="162">
        <v>2206730</v>
      </c>
      <c r="AB44" s="162">
        <v>2113877</v>
      </c>
      <c r="AC44" s="162">
        <v>2029469</v>
      </c>
      <c r="AD44" s="162">
        <v>1942429</v>
      </c>
      <c r="AE44" s="162">
        <v>1883461</v>
      </c>
      <c r="AF44" s="162">
        <v>1828431</v>
      </c>
      <c r="AG44" s="162">
        <v>1786731</v>
      </c>
      <c r="AH44" s="162">
        <v>3235993</v>
      </c>
      <c r="AI44" s="162">
        <v>3277651</v>
      </c>
      <c r="AJ44" s="162">
        <v>3268594</v>
      </c>
      <c r="AK44" s="162">
        <v>3239832</v>
      </c>
      <c r="AL44" s="162">
        <v>3157190</v>
      </c>
      <c r="AM44" s="162">
        <v>3041318</v>
      </c>
      <c r="AN44" s="162">
        <v>2929069</v>
      </c>
      <c r="AO44" s="162">
        <v>2832463</v>
      </c>
      <c r="AP44" s="162">
        <v>2760348</v>
      </c>
      <c r="AQ44" s="162">
        <v>2683414</v>
      </c>
      <c r="AR44" s="162">
        <v>2598818</v>
      </c>
      <c r="AS44" s="162">
        <v>2512272</v>
      </c>
      <c r="AT44" s="162">
        <v>2385246</v>
      </c>
      <c r="AU44" s="162">
        <v>2274032</v>
      </c>
      <c r="AV44" s="162">
        <v>2176867</v>
      </c>
      <c r="AW44" s="162">
        <v>2083051</v>
      </c>
    </row>
    <row r="45" spans="1:49" x14ac:dyDescent="0.2">
      <c r="B45" s="162">
        <f>B44+R44+AH44</f>
        <v>8933023</v>
      </c>
      <c r="C45" s="162">
        <f t="shared" ref="C45:Q45" si="1">C44+S44+AI44</f>
        <v>8763939</v>
      </c>
      <c r="D45" s="162">
        <f t="shared" si="1"/>
        <v>8541461</v>
      </c>
      <c r="E45" s="162">
        <f t="shared" si="1"/>
        <v>8329699</v>
      </c>
      <c r="F45" s="162">
        <f t="shared" si="1"/>
        <v>8072857</v>
      </c>
      <c r="G45" s="162">
        <f t="shared" si="1"/>
        <v>7776069</v>
      </c>
      <c r="H45" s="162">
        <f t="shared" si="1"/>
        <v>7489874</v>
      </c>
      <c r="I45" s="162">
        <f t="shared" si="1"/>
        <v>7221462</v>
      </c>
      <c r="J45" s="162">
        <f t="shared" si="1"/>
        <v>6982115</v>
      </c>
      <c r="K45" s="162">
        <f t="shared" si="1"/>
        <v>6755880</v>
      </c>
      <c r="L45" s="162">
        <f t="shared" si="1"/>
        <v>6537688</v>
      </c>
      <c r="M45" s="162">
        <f t="shared" si="1"/>
        <v>6343661</v>
      </c>
      <c r="N45" s="162">
        <f t="shared" si="1"/>
        <v>6090608</v>
      </c>
      <c r="O45" s="162">
        <f t="shared" si="1"/>
        <v>5936388</v>
      </c>
      <c r="P45" s="162">
        <f t="shared" si="1"/>
        <v>5832708</v>
      </c>
      <c r="Q45" s="162">
        <f t="shared" si="1"/>
        <v>5778878</v>
      </c>
    </row>
    <row r="46" spans="1:49" x14ac:dyDescent="0.2">
      <c r="B46" s="163">
        <v>8933023</v>
      </c>
      <c r="C46" s="164">
        <v>8763939</v>
      </c>
      <c r="D46" s="164">
        <v>8541461</v>
      </c>
      <c r="E46" s="164">
        <v>8329699</v>
      </c>
      <c r="F46" s="164">
        <v>8072857</v>
      </c>
      <c r="G46" s="164">
        <v>7776069</v>
      </c>
      <c r="H46" s="164">
        <v>7489874</v>
      </c>
      <c r="I46" s="164">
        <v>7221462</v>
      </c>
      <c r="J46" s="164">
        <v>6982115</v>
      </c>
      <c r="K46" s="164">
        <v>6755880</v>
      </c>
      <c r="L46" s="164">
        <v>6537688</v>
      </c>
      <c r="M46" s="164">
        <v>6343661</v>
      </c>
      <c r="N46" s="164">
        <v>6090608</v>
      </c>
      <c r="O46" s="164">
        <v>5936388</v>
      </c>
      <c r="P46" s="164">
        <v>5832708</v>
      </c>
      <c r="Q46" s="164">
        <v>5778878</v>
      </c>
    </row>
    <row r="48" spans="1:49" ht="17" thickBot="1" x14ac:dyDescent="0.25"/>
    <row r="49" spans="1:17" ht="17" thickBot="1" x14ac:dyDescent="0.25">
      <c r="A49" s="9" t="s">
        <v>210</v>
      </c>
      <c r="B49" s="165">
        <v>2008</v>
      </c>
      <c r="C49" s="166">
        <v>2009</v>
      </c>
      <c r="D49" s="166">
        <v>2010</v>
      </c>
      <c r="E49" s="166">
        <v>2011</v>
      </c>
      <c r="F49" s="166">
        <v>2012</v>
      </c>
      <c r="G49" s="166">
        <v>2013</v>
      </c>
      <c r="H49" s="166">
        <v>2014</v>
      </c>
      <c r="I49" s="166">
        <v>2015</v>
      </c>
      <c r="J49" s="166">
        <v>2016</v>
      </c>
      <c r="K49" s="166">
        <v>2017</v>
      </c>
      <c r="L49" s="166">
        <v>2018</v>
      </c>
      <c r="M49" s="166">
        <v>2019</v>
      </c>
      <c r="N49" s="166">
        <v>2020</v>
      </c>
      <c r="O49" s="166">
        <v>2021</v>
      </c>
      <c r="P49" s="166">
        <v>2022</v>
      </c>
      <c r="Q49" s="167">
        <v>2023</v>
      </c>
    </row>
    <row r="50" spans="1:17" x14ac:dyDescent="0.2">
      <c r="A50" t="s">
        <v>207</v>
      </c>
      <c r="B50" s="162">
        <v>38135876</v>
      </c>
      <c r="C50" s="162">
        <v>38167329</v>
      </c>
      <c r="D50" s="162">
        <v>38529866</v>
      </c>
      <c r="E50" s="162">
        <v>38538447</v>
      </c>
      <c r="F50" s="162">
        <v>38533299</v>
      </c>
      <c r="G50" s="162">
        <v>38495659</v>
      </c>
      <c r="H50" s="162">
        <v>38478602</v>
      </c>
      <c r="I50" s="162">
        <v>38437239</v>
      </c>
      <c r="J50" s="162">
        <v>38432992</v>
      </c>
      <c r="K50" s="162">
        <v>38433558</v>
      </c>
      <c r="L50" s="162">
        <v>38411148</v>
      </c>
      <c r="M50" s="162">
        <v>38382576</v>
      </c>
      <c r="N50" s="162">
        <v>38088564</v>
      </c>
      <c r="O50" s="162">
        <v>37907704</v>
      </c>
      <c r="P50" s="162">
        <v>37766327</v>
      </c>
      <c r="Q50" s="162">
        <v>37636508</v>
      </c>
    </row>
    <row r="51" spans="1:17" x14ac:dyDescent="0.2">
      <c r="A51" t="s">
        <v>208</v>
      </c>
      <c r="B51" s="168">
        <v>8933023</v>
      </c>
      <c r="C51" s="168">
        <v>8763939</v>
      </c>
      <c r="D51" s="168">
        <v>8541461</v>
      </c>
      <c r="E51" s="168">
        <v>8329699</v>
      </c>
      <c r="F51" s="168">
        <v>8072857</v>
      </c>
      <c r="G51" s="168">
        <v>7776069</v>
      </c>
      <c r="H51" s="168">
        <v>7489874</v>
      </c>
      <c r="I51" s="168">
        <v>7221462</v>
      </c>
      <c r="J51" s="168">
        <v>6982115</v>
      </c>
      <c r="K51" s="168">
        <v>6755880</v>
      </c>
      <c r="L51" s="168">
        <v>6537688</v>
      </c>
      <c r="M51" s="168">
        <v>6343661</v>
      </c>
      <c r="N51" s="168">
        <v>6090608</v>
      </c>
      <c r="O51" s="168">
        <v>5936388</v>
      </c>
      <c r="P51" s="168">
        <v>5832708</v>
      </c>
      <c r="Q51" s="168">
        <v>5778878</v>
      </c>
    </row>
    <row r="52" spans="1:17" x14ac:dyDescent="0.2">
      <c r="B52" s="159">
        <f>B51/B50</f>
        <v>0.23424197729193372</v>
      </c>
      <c r="C52" s="159">
        <f t="shared" ref="C52:Q52" si="2">C51/C50</f>
        <v>0.22961887115548485</v>
      </c>
      <c r="D52" s="159">
        <f t="shared" si="2"/>
        <v>0.22168416054185083</v>
      </c>
      <c r="E52" s="159">
        <f t="shared" si="2"/>
        <v>0.21613997574941202</v>
      </c>
      <c r="F52" s="159">
        <f t="shared" si="2"/>
        <v>0.20950339601081133</v>
      </c>
      <c r="G52" s="158">
        <f t="shared" si="2"/>
        <v>0.20199859417915147</v>
      </c>
      <c r="H52" s="159">
        <f t="shared" si="2"/>
        <v>0.19465036697539062</v>
      </c>
      <c r="I52" s="159">
        <f t="shared" si="2"/>
        <v>0.18787670987502511</v>
      </c>
      <c r="J52" s="159">
        <f t="shared" si="2"/>
        <v>0.18166982679880869</v>
      </c>
      <c r="K52" s="159">
        <f t="shared" si="2"/>
        <v>0.17578075909599628</v>
      </c>
      <c r="L52" s="159">
        <f t="shared" si="2"/>
        <v>0.17020287964317027</v>
      </c>
      <c r="M52" s="159">
        <f t="shared" si="2"/>
        <v>0.16527449851203316</v>
      </c>
      <c r="N52" s="159">
        <f t="shared" si="2"/>
        <v>0.15990647481485518</v>
      </c>
      <c r="O52" s="159">
        <f t="shared" si="2"/>
        <v>0.15660109617823331</v>
      </c>
      <c r="P52" s="159">
        <f t="shared" si="2"/>
        <v>0.15444202450505712</v>
      </c>
      <c r="Q52" s="159">
        <f t="shared" si="2"/>
        <v>0.15354447867480162</v>
      </c>
    </row>
    <row r="55" spans="1:17" x14ac:dyDescent="0.2">
      <c r="A55" s="9" t="s">
        <v>209</v>
      </c>
      <c r="B55" s="209" t="s">
        <v>190</v>
      </c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</row>
    <row r="56" spans="1:17" x14ac:dyDescent="0.2">
      <c r="A56" t="s">
        <v>214</v>
      </c>
      <c r="B56" s="161" t="s">
        <v>173</v>
      </c>
      <c r="C56" s="161" t="s">
        <v>174</v>
      </c>
      <c r="D56" s="161" t="s">
        <v>175</v>
      </c>
      <c r="E56" s="161" t="s">
        <v>176</v>
      </c>
      <c r="F56" s="161" t="s">
        <v>177</v>
      </c>
      <c r="G56" s="161" t="s">
        <v>178</v>
      </c>
      <c r="H56" s="161" t="s">
        <v>179</v>
      </c>
      <c r="I56" s="161" t="s">
        <v>180</v>
      </c>
      <c r="J56" s="161" t="s">
        <v>181</v>
      </c>
      <c r="K56" s="161" t="s">
        <v>182</v>
      </c>
      <c r="L56" s="161" t="s">
        <v>183</v>
      </c>
      <c r="M56" s="161" t="s">
        <v>184</v>
      </c>
      <c r="N56" s="161" t="s">
        <v>185</v>
      </c>
      <c r="O56" s="161" t="s">
        <v>186</v>
      </c>
      <c r="P56" s="161" t="s">
        <v>187</v>
      </c>
      <c r="Q56" s="161" t="s">
        <v>188</v>
      </c>
    </row>
    <row r="57" spans="1:17" x14ac:dyDescent="0.2">
      <c r="A57" t="s">
        <v>215</v>
      </c>
      <c r="B57" s="161" t="s">
        <v>192</v>
      </c>
      <c r="C57" s="161" t="s">
        <v>192</v>
      </c>
      <c r="D57" s="161" t="s">
        <v>192</v>
      </c>
      <c r="E57" s="161" t="s">
        <v>192</v>
      </c>
      <c r="F57" s="161" t="s">
        <v>192</v>
      </c>
      <c r="G57" s="161" t="s">
        <v>192</v>
      </c>
      <c r="H57" s="161" t="s">
        <v>192</v>
      </c>
      <c r="I57" s="161" t="s">
        <v>192</v>
      </c>
      <c r="J57" s="161" t="s">
        <v>192</v>
      </c>
      <c r="K57" s="161" t="s">
        <v>192</v>
      </c>
      <c r="L57" s="161" t="s">
        <v>192</v>
      </c>
      <c r="M57" s="161" t="s">
        <v>192</v>
      </c>
      <c r="N57" s="161" t="s">
        <v>192</v>
      </c>
      <c r="O57" s="161" t="s">
        <v>192</v>
      </c>
      <c r="P57" s="161" t="s">
        <v>192</v>
      </c>
      <c r="Q57" s="161" t="s">
        <v>192</v>
      </c>
    </row>
    <row r="58" spans="1:17" x14ac:dyDescent="0.2">
      <c r="B58" s="25">
        <v>37.590000000000003</v>
      </c>
      <c r="C58" s="25">
        <v>35.75</v>
      </c>
      <c r="D58" s="25">
        <v>34.270000000000003</v>
      </c>
      <c r="E58" s="26">
        <v>34.5</v>
      </c>
      <c r="F58" s="26">
        <v>33.6</v>
      </c>
      <c r="G58" s="26">
        <v>33.799999999999997</v>
      </c>
      <c r="H58" s="26">
        <v>34.799999999999997</v>
      </c>
      <c r="I58" s="26">
        <v>36.700000000000003</v>
      </c>
      <c r="J58" s="26">
        <v>38.1</v>
      </c>
      <c r="K58" s="26">
        <v>39.299999999999997</v>
      </c>
      <c r="L58" s="26">
        <v>40.1</v>
      </c>
      <c r="M58" s="26">
        <v>40.6</v>
      </c>
      <c r="N58" s="26">
        <v>26.8</v>
      </c>
      <c r="O58" s="26">
        <v>32.299999999999997</v>
      </c>
      <c r="P58" s="26">
        <v>40.4</v>
      </c>
      <c r="Q58" s="26">
        <v>40.5</v>
      </c>
    </row>
  </sheetData>
  <mergeCells count="17">
    <mergeCell ref="B15:Q15"/>
    <mergeCell ref="B2:Q2"/>
    <mergeCell ref="R2:AG2"/>
    <mergeCell ref="AH2:AW2"/>
    <mergeCell ref="AX2:BM2"/>
    <mergeCell ref="B9:Q9"/>
    <mergeCell ref="B21:Q21"/>
    <mergeCell ref="B27:Q27"/>
    <mergeCell ref="B33:Q33"/>
    <mergeCell ref="B34:Q34"/>
    <mergeCell ref="B40:Q40"/>
    <mergeCell ref="AH40:AW40"/>
    <mergeCell ref="B41:Q41"/>
    <mergeCell ref="R41:AG41"/>
    <mergeCell ref="AH41:AW41"/>
    <mergeCell ref="B55:Q55"/>
    <mergeCell ref="R40:AG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7"/>
  <sheetViews>
    <sheetView workbookViewId="0">
      <selection activeCell="O40" sqref="O40"/>
    </sheetView>
  </sheetViews>
  <sheetFormatPr baseColWidth="10" defaultColWidth="11" defaultRowHeight="16" x14ac:dyDescent="0.2"/>
  <cols>
    <col min="3" max="3" width="14.1640625" customWidth="1"/>
    <col min="7" max="7" width="13" customWidth="1"/>
  </cols>
  <sheetData>
    <row r="1" spans="2:26" ht="17" thickBot="1" x14ac:dyDescent="0.25"/>
    <row r="2" spans="2:26" ht="120" thickBot="1" x14ac:dyDescent="0.25">
      <c r="B2" s="30" t="s">
        <v>0</v>
      </c>
      <c r="C2" s="31" t="s">
        <v>1</v>
      </c>
      <c r="D2" s="32" t="s">
        <v>29</v>
      </c>
      <c r="E2" s="32" t="s">
        <v>30</v>
      </c>
      <c r="F2" s="32" t="s">
        <v>154</v>
      </c>
      <c r="G2" s="32" t="s">
        <v>31</v>
      </c>
      <c r="H2" s="32" t="s">
        <v>158</v>
      </c>
      <c r="I2" s="33" t="s">
        <v>32</v>
      </c>
    </row>
    <row r="3" spans="2:26" x14ac:dyDescent="0.2">
      <c r="B3" s="34">
        <v>2008</v>
      </c>
      <c r="C3" s="10">
        <v>13069</v>
      </c>
      <c r="D3" s="17">
        <v>3158.48</v>
      </c>
      <c r="E3" s="17">
        <v>9.5</v>
      </c>
      <c r="F3" s="17">
        <v>104.2</v>
      </c>
      <c r="G3" s="11">
        <v>122</v>
      </c>
      <c r="H3" s="17">
        <f>0.2342*100</f>
        <v>23.419999999999998</v>
      </c>
      <c r="I3" s="18">
        <v>37.590000000000003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2">
      <c r="B4" s="35">
        <v>2009</v>
      </c>
      <c r="C4" s="16">
        <v>13305</v>
      </c>
      <c r="D4" s="4">
        <v>3315.38</v>
      </c>
      <c r="E4" s="4">
        <v>12.1</v>
      </c>
      <c r="F4" s="4">
        <v>103.5</v>
      </c>
      <c r="G4" s="12">
        <v>122.1</v>
      </c>
      <c r="H4" s="4">
        <f>0.2296*100</f>
        <v>22.96</v>
      </c>
      <c r="I4" s="19">
        <v>35.75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2:26" x14ac:dyDescent="0.2">
      <c r="B5" s="35">
        <v>2010</v>
      </c>
      <c r="C5" s="16">
        <v>14408</v>
      </c>
      <c r="D5" s="4">
        <v>3435</v>
      </c>
      <c r="E5" s="4">
        <v>12.4</v>
      </c>
      <c r="F5" s="4">
        <v>102.6</v>
      </c>
      <c r="G5" s="12">
        <v>123.2</v>
      </c>
      <c r="H5" s="4">
        <f>0.2217*100</f>
        <v>22.17</v>
      </c>
      <c r="I5" s="19">
        <v>34.270000000000003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2:26" x14ac:dyDescent="0.2">
      <c r="B6" s="35">
        <v>2011</v>
      </c>
      <c r="C6" s="16">
        <v>13886</v>
      </c>
      <c r="D6" s="4">
        <v>3625.21</v>
      </c>
      <c r="E6" s="4">
        <v>12.5</v>
      </c>
      <c r="F6" s="4">
        <v>104.3</v>
      </c>
      <c r="G6" s="12">
        <v>123.3</v>
      </c>
      <c r="H6" s="4">
        <f>0.2161*100</f>
        <v>21.61</v>
      </c>
      <c r="I6" s="20">
        <v>34.5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2:26" x14ac:dyDescent="0.2">
      <c r="B7" s="35">
        <v>2012</v>
      </c>
      <c r="C7" s="16">
        <v>15137</v>
      </c>
      <c r="D7" s="4">
        <v>3744.38</v>
      </c>
      <c r="E7" s="4">
        <v>13.4</v>
      </c>
      <c r="F7" s="4">
        <v>103.7</v>
      </c>
      <c r="G7" s="12">
        <v>123.2</v>
      </c>
      <c r="H7" s="4">
        <f>0.2095*100</f>
        <v>20.95</v>
      </c>
      <c r="I7" s="20">
        <v>33.6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2:26" x14ac:dyDescent="0.2">
      <c r="B8" s="35">
        <v>2013</v>
      </c>
      <c r="C8" s="16">
        <v>15807</v>
      </c>
      <c r="D8" s="4">
        <v>3877.43</v>
      </c>
      <c r="E8" s="4">
        <v>13.4</v>
      </c>
      <c r="F8" s="4">
        <v>100.9</v>
      </c>
      <c r="G8" s="12">
        <v>123.1</v>
      </c>
      <c r="H8" s="4">
        <f>0.201999*100</f>
        <v>20.1999</v>
      </c>
      <c r="I8" s="20">
        <v>33.799999999999997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2:26" x14ac:dyDescent="0.2">
      <c r="B9" s="35">
        <v>2014</v>
      </c>
      <c r="C9" s="16">
        <v>17325</v>
      </c>
      <c r="D9" s="4">
        <v>4003.99</v>
      </c>
      <c r="E9" s="4">
        <v>11.4</v>
      </c>
      <c r="F9" s="4">
        <v>100</v>
      </c>
      <c r="G9" s="12">
        <v>123.1</v>
      </c>
      <c r="H9" s="4">
        <f>0.1947*100</f>
        <v>19.470000000000002</v>
      </c>
      <c r="I9" s="20">
        <v>34.799999999999997</v>
      </c>
      <c r="K9" s="25"/>
      <c r="L9" s="25"/>
      <c r="M9" s="25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2:26" x14ac:dyDescent="0.2">
      <c r="B10" s="35">
        <v>2015</v>
      </c>
      <c r="C10" s="16">
        <v>18611</v>
      </c>
      <c r="D10" s="4">
        <v>4150.8599999999997</v>
      </c>
      <c r="E10" s="4">
        <v>9.6999999999999993</v>
      </c>
      <c r="F10" s="4">
        <v>99.1</v>
      </c>
      <c r="G10" s="12">
        <v>122.9</v>
      </c>
      <c r="H10" s="4">
        <f>0.1879*100</f>
        <v>18.790000000000003</v>
      </c>
      <c r="I10" s="20">
        <v>36.700000000000003</v>
      </c>
    </row>
    <row r="11" spans="2:26" x14ac:dyDescent="0.2">
      <c r="B11" s="35">
        <v>2016</v>
      </c>
      <c r="C11" s="16">
        <v>19623</v>
      </c>
      <c r="D11" s="4">
        <v>4290.5200000000004</v>
      </c>
      <c r="E11" s="4">
        <v>8.1999999999999993</v>
      </c>
      <c r="F11" s="4">
        <v>99.4</v>
      </c>
      <c r="G11" s="12">
        <v>122.9</v>
      </c>
      <c r="H11" s="4">
        <f>0.1817*100</f>
        <v>18.170000000000002</v>
      </c>
      <c r="I11" s="20">
        <v>38.1</v>
      </c>
    </row>
    <row r="12" spans="2:26" x14ac:dyDescent="0.2">
      <c r="B12" s="35">
        <v>2017</v>
      </c>
      <c r="C12" s="16">
        <v>19125</v>
      </c>
      <c r="D12" s="4">
        <v>4527.8900000000003</v>
      </c>
      <c r="E12" s="4">
        <v>6.6</v>
      </c>
      <c r="F12" s="4">
        <v>102</v>
      </c>
      <c r="G12" s="12">
        <v>122.9</v>
      </c>
      <c r="H12" s="4">
        <f>0.1758*100</f>
        <v>17.580000000000002</v>
      </c>
      <c r="I12" s="20">
        <v>39.299999999999997</v>
      </c>
    </row>
    <row r="13" spans="2:26" x14ac:dyDescent="0.2">
      <c r="B13" s="35">
        <v>2018</v>
      </c>
      <c r="C13" s="16">
        <v>17700</v>
      </c>
      <c r="D13" s="4">
        <v>4834.76</v>
      </c>
      <c r="E13" s="4">
        <v>5.8</v>
      </c>
      <c r="F13" s="4">
        <v>101.6</v>
      </c>
      <c r="G13" s="12">
        <v>122.8</v>
      </c>
      <c r="H13" s="4">
        <f>0.1702*100</f>
        <v>17.02</v>
      </c>
      <c r="I13" s="20">
        <v>40.1</v>
      </c>
    </row>
    <row r="14" spans="2:26" x14ac:dyDescent="0.2">
      <c r="B14" s="35">
        <v>2019</v>
      </c>
      <c r="C14" s="16">
        <v>20260</v>
      </c>
      <c r="D14" s="4">
        <v>5181.63</v>
      </c>
      <c r="E14" s="4">
        <v>5.2</v>
      </c>
      <c r="F14" s="4">
        <v>102.3</v>
      </c>
      <c r="G14" s="12">
        <v>122.7</v>
      </c>
      <c r="H14" s="4">
        <f>0.1653*100</f>
        <v>16.53</v>
      </c>
      <c r="I14" s="20">
        <v>40.6</v>
      </c>
    </row>
    <row r="15" spans="2:26" x14ac:dyDescent="0.2">
      <c r="B15" s="35">
        <v>2020</v>
      </c>
      <c r="C15" s="16">
        <v>17778</v>
      </c>
      <c r="D15" s="4">
        <v>5523.32</v>
      </c>
      <c r="E15" s="4">
        <v>6.3</v>
      </c>
      <c r="F15" s="4">
        <v>103.4</v>
      </c>
      <c r="G15" s="12">
        <v>121.8</v>
      </c>
      <c r="H15" s="4">
        <f>0.1599*100</f>
        <v>15.989999999999998</v>
      </c>
      <c r="I15" s="20">
        <v>26.8</v>
      </c>
    </row>
    <row r="16" spans="2:26" x14ac:dyDescent="0.2">
      <c r="B16" s="35">
        <v>2021</v>
      </c>
      <c r="C16" s="16">
        <v>18789</v>
      </c>
      <c r="D16" s="4">
        <v>6001.02</v>
      </c>
      <c r="E16" s="4">
        <v>5.8</v>
      </c>
      <c r="F16" s="4">
        <v>105.1</v>
      </c>
      <c r="G16" s="12">
        <v>121.2</v>
      </c>
      <c r="H16" s="4">
        <f>0.1566*100</f>
        <v>15.659999999999998</v>
      </c>
      <c r="I16" s="20">
        <v>32.299999999999997</v>
      </c>
    </row>
    <row r="17" spans="2:9" x14ac:dyDescent="0.2">
      <c r="B17" s="35">
        <v>2022</v>
      </c>
      <c r="C17" s="16">
        <v>20215</v>
      </c>
      <c r="D17" s="4">
        <v>6705.62</v>
      </c>
      <c r="E17" s="4">
        <v>5.2</v>
      </c>
      <c r="F17" s="4">
        <v>114.4</v>
      </c>
      <c r="G17" s="12">
        <v>120.8</v>
      </c>
      <c r="H17" s="4">
        <f>0.1544*100</f>
        <v>15.440000000000001</v>
      </c>
      <c r="I17" s="20">
        <v>40.4</v>
      </c>
    </row>
    <row r="18" spans="2:9" ht="17" thickBot="1" x14ac:dyDescent="0.25">
      <c r="B18" s="36">
        <v>2023</v>
      </c>
      <c r="C18" s="21">
        <v>22187</v>
      </c>
      <c r="D18" s="5">
        <v>7595.3</v>
      </c>
      <c r="E18" s="5">
        <v>5.0999999999999996</v>
      </c>
      <c r="F18" s="5">
        <v>111.4</v>
      </c>
      <c r="G18" s="22">
        <v>119.9</v>
      </c>
      <c r="H18" s="5">
        <f>0.1535*100</f>
        <v>15.35</v>
      </c>
      <c r="I18" s="15">
        <v>40.5</v>
      </c>
    </row>
    <row r="22" spans="2:9" ht="65" x14ac:dyDescent="0.75">
      <c r="B22" s="147"/>
    </row>
    <row r="27" spans="2:9" ht="65" x14ac:dyDescent="0.75">
      <c r="B27" s="14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P50"/>
  <sheetViews>
    <sheetView workbookViewId="0">
      <selection activeCell="J32" sqref="J32"/>
    </sheetView>
  </sheetViews>
  <sheetFormatPr baseColWidth="10" defaultColWidth="11.5" defaultRowHeight="16" x14ac:dyDescent="0.2"/>
  <cols>
    <col min="33" max="33" width="14" customWidth="1"/>
    <col min="39" max="41" width="11" bestFit="1" customWidth="1"/>
    <col min="42" max="42" width="11.6640625" bestFit="1" customWidth="1"/>
  </cols>
  <sheetData>
    <row r="2" spans="2:42" ht="17" thickBot="1" x14ac:dyDescent="0.25"/>
    <row r="3" spans="2:42" ht="120" thickBot="1" x14ac:dyDescent="0.25">
      <c r="B3" s="30" t="s">
        <v>0</v>
      </c>
      <c r="C3" s="31" t="s">
        <v>1</v>
      </c>
      <c r="D3" s="32" t="s">
        <v>29</v>
      </c>
      <c r="E3" s="32" t="s">
        <v>30</v>
      </c>
      <c r="F3" s="32" t="s">
        <v>154</v>
      </c>
      <c r="G3" s="32" t="s">
        <v>31</v>
      </c>
      <c r="H3" s="32" t="s">
        <v>216</v>
      </c>
      <c r="I3" s="33" t="s">
        <v>32</v>
      </c>
      <c r="L3" s="30" t="s">
        <v>0</v>
      </c>
      <c r="M3" s="31" t="s">
        <v>1</v>
      </c>
      <c r="N3" s="32" t="s">
        <v>29</v>
      </c>
      <c r="O3" s="32" t="s">
        <v>30</v>
      </c>
      <c r="P3" s="32" t="s">
        <v>154</v>
      </c>
      <c r="Q3" s="32" t="s">
        <v>216</v>
      </c>
      <c r="R3" s="33" t="s">
        <v>32</v>
      </c>
      <c r="V3" s="30" t="s">
        <v>0</v>
      </c>
      <c r="W3" s="31" t="s">
        <v>1</v>
      </c>
      <c r="X3" s="32" t="s">
        <v>29</v>
      </c>
      <c r="Y3" s="32" t="s">
        <v>154</v>
      </c>
      <c r="Z3" s="32" t="s">
        <v>216</v>
      </c>
      <c r="AA3" s="33" t="s">
        <v>32</v>
      </c>
      <c r="AF3" s="30" t="s">
        <v>0</v>
      </c>
      <c r="AG3" s="31" t="s">
        <v>1</v>
      </c>
      <c r="AH3" s="32" t="s">
        <v>29</v>
      </c>
      <c r="AI3" s="32" t="s">
        <v>154</v>
      </c>
      <c r="AJ3" s="33" t="s">
        <v>32</v>
      </c>
    </row>
    <row r="4" spans="2:42" ht="17" thickBot="1" x14ac:dyDescent="0.25">
      <c r="B4" s="34">
        <v>2008</v>
      </c>
      <c r="C4" s="10">
        <v>13069</v>
      </c>
      <c r="D4" s="17">
        <v>3158.48</v>
      </c>
      <c r="E4" s="17">
        <v>9.5</v>
      </c>
      <c r="F4" s="17">
        <v>104.2</v>
      </c>
      <c r="G4" s="11">
        <v>122</v>
      </c>
      <c r="H4" s="17">
        <f>0.2342*100</f>
        <v>23.419999999999998</v>
      </c>
      <c r="I4" s="18">
        <v>37.590000000000003</v>
      </c>
      <c r="L4" s="34">
        <v>2008</v>
      </c>
      <c r="M4" s="10">
        <v>13069</v>
      </c>
      <c r="N4" s="17">
        <v>3158.48</v>
      </c>
      <c r="O4" s="17">
        <v>9.5</v>
      </c>
      <c r="P4" s="17">
        <v>104.2</v>
      </c>
      <c r="Q4" s="17">
        <f>0.2342*100</f>
        <v>23.419999999999998</v>
      </c>
      <c r="R4" s="18">
        <v>37.590000000000003</v>
      </c>
      <c r="V4" s="34">
        <v>2008</v>
      </c>
      <c r="W4" s="10">
        <v>13069</v>
      </c>
      <c r="X4" s="17">
        <v>3158.48</v>
      </c>
      <c r="Y4" s="17">
        <v>104.2</v>
      </c>
      <c r="Z4" s="17">
        <f>0.2342*100</f>
        <v>23.419999999999998</v>
      </c>
      <c r="AA4" s="18">
        <v>37.590000000000003</v>
      </c>
      <c r="AF4" s="34">
        <v>2008</v>
      </c>
      <c r="AG4" s="10">
        <v>13069</v>
      </c>
      <c r="AH4" s="17">
        <v>3158.48</v>
      </c>
      <c r="AI4" s="17">
        <v>104.2</v>
      </c>
      <c r="AJ4" s="18">
        <v>37.590000000000003</v>
      </c>
    </row>
    <row r="5" spans="2:42" x14ac:dyDescent="0.2">
      <c r="B5" s="35">
        <v>2009</v>
      </c>
      <c r="C5" s="16">
        <v>13305</v>
      </c>
      <c r="D5" s="4">
        <v>3315.38</v>
      </c>
      <c r="E5" s="4">
        <v>12.1</v>
      </c>
      <c r="F5" s="4">
        <v>103.5</v>
      </c>
      <c r="G5" s="12">
        <v>122.1</v>
      </c>
      <c r="H5" s="4">
        <f>0.2296*100</f>
        <v>22.96</v>
      </c>
      <c r="I5" s="19">
        <v>35.75</v>
      </c>
      <c r="L5" s="35">
        <v>2009</v>
      </c>
      <c r="M5" s="16">
        <v>13305</v>
      </c>
      <c r="N5" s="4">
        <v>3315.38</v>
      </c>
      <c r="O5" s="4">
        <v>12.1</v>
      </c>
      <c r="P5" s="4">
        <v>103.5</v>
      </c>
      <c r="Q5" s="4">
        <f>0.2296*100</f>
        <v>22.96</v>
      </c>
      <c r="R5" s="19">
        <v>35.75</v>
      </c>
      <c r="V5" s="35">
        <v>2009</v>
      </c>
      <c r="W5" s="16">
        <v>13305</v>
      </c>
      <c r="X5" s="4">
        <v>3315.38</v>
      </c>
      <c r="Y5" s="4">
        <v>103.5</v>
      </c>
      <c r="Z5" s="4">
        <f>0.2296*100</f>
        <v>22.96</v>
      </c>
      <c r="AA5" s="19">
        <v>35.75</v>
      </c>
      <c r="AF5" s="35">
        <v>2009</v>
      </c>
      <c r="AG5" s="16">
        <v>13305</v>
      </c>
      <c r="AH5" s="4">
        <v>3315.38</v>
      </c>
      <c r="AI5" s="4">
        <v>103.5</v>
      </c>
      <c r="AJ5" s="19">
        <v>35.75</v>
      </c>
      <c r="AM5" s="170" cm="1">
        <f t="array" ref="AM5:AP9">LINEST(AG4:AG19,AH4:AJ19,1,1)</f>
        <v>210.36346164828618</v>
      </c>
      <c r="AN5" s="171">
        <v>-399.73409811594229</v>
      </c>
      <c r="AO5" s="171">
        <v>2.5435498133689332</v>
      </c>
      <c r="AP5" s="172">
        <v>39373.261743251824</v>
      </c>
    </row>
    <row r="6" spans="2:42" x14ac:dyDescent="0.2">
      <c r="B6" s="35">
        <v>2010</v>
      </c>
      <c r="C6" s="16">
        <v>14408</v>
      </c>
      <c r="D6" s="4">
        <v>3435</v>
      </c>
      <c r="E6" s="4">
        <v>12.4</v>
      </c>
      <c r="F6" s="4">
        <v>102.6</v>
      </c>
      <c r="G6" s="12">
        <v>123.2</v>
      </c>
      <c r="H6" s="4">
        <f>0.2217*100</f>
        <v>22.17</v>
      </c>
      <c r="I6" s="19">
        <v>34.270000000000003</v>
      </c>
      <c r="L6" s="35">
        <v>2010</v>
      </c>
      <c r="M6" s="16">
        <v>14408</v>
      </c>
      <c r="N6" s="4">
        <v>3435</v>
      </c>
      <c r="O6" s="4">
        <v>12.4</v>
      </c>
      <c r="P6" s="4">
        <v>102.6</v>
      </c>
      <c r="Q6" s="4">
        <f>0.2217*100</f>
        <v>22.17</v>
      </c>
      <c r="R6" s="19">
        <v>34.270000000000003</v>
      </c>
      <c r="V6" s="35">
        <v>2010</v>
      </c>
      <c r="W6" s="16">
        <v>14408</v>
      </c>
      <c r="X6" s="4">
        <v>3435</v>
      </c>
      <c r="Y6" s="4">
        <v>102.6</v>
      </c>
      <c r="Z6" s="4">
        <f>0.2217*100</f>
        <v>22.17</v>
      </c>
      <c r="AA6" s="19">
        <v>34.270000000000003</v>
      </c>
      <c r="AF6" s="35">
        <v>2010</v>
      </c>
      <c r="AG6" s="16">
        <v>14408</v>
      </c>
      <c r="AH6" s="4">
        <v>3435</v>
      </c>
      <c r="AI6" s="4">
        <v>102.6</v>
      </c>
      <c r="AJ6" s="19">
        <v>34.270000000000003</v>
      </c>
      <c r="AM6" s="71">
        <v>59.699402963317617</v>
      </c>
      <c r="AN6">
        <v>74.010587853682225</v>
      </c>
      <c r="AO6">
        <v>0.23409778224668468</v>
      </c>
      <c r="AP6" s="72">
        <v>6984.2757063156996</v>
      </c>
    </row>
    <row r="7" spans="2:42" x14ac:dyDescent="0.2">
      <c r="B7" s="35">
        <v>2011</v>
      </c>
      <c r="C7" s="16">
        <v>13886</v>
      </c>
      <c r="D7" s="4">
        <v>3625.21</v>
      </c>
      <c r="E7" s="4">
        <v>12.5</v>
      </c>
      <c r="F7" s="4">
        <v>104.3</v>
      </c>
      <c r="G7" s="12">
        <v>123.3</v>
      </c>
      <c r="H7" s="4">
        <f>0.2161*100</f>
        <v>21.61</v>
      </c>
      <c r="I7" s="20">
        <v>34.5</v>
      </c>
      <c r="L7" s="35">
        <v>2011</v>
      </c>
      <c r="M7" s="16">
        <v>13886</v>
      </c>
      <c r="N7" s="4">
        <v>3625.21</v>
      </c>
      <c r="O7" s="4">
        <v>12.5</v>
      </c>
      <c r="P7" s="4">
        <v>104.3</v>
      </c>
      <c r="Q7" s="4">
        <f>0.2161*100</f>
        <v>21.61</v>
      </c>
      <c r="R7" s="20">
        <v>34.5</v>
      </c>
      <c r="V7" s="35">
        <v>2011</v>
      </c>
      <c r="W7" s="16">
        <v>13886</v>
      </c>
      <c r="X7" s="4">
        <v>3625.21</v>
      </c>
      <c r="Y7" s="4">
        <v>104.3</v>
      </c>
      <c r="Z7" s="4">
        <f>0.2161*100</f>
        <v>21.61</v>
      </c>
      <c r="AA7" s="20">
        <v>34.5</v>
      </c>
      <c r="AF7" s="35">
        <v>2011</v>
      </c>
      <c r="AG7" s="16">
        <v>13886</v>
      </c>
      <c r="AH7" s="4">
        <v>3625.21</v>
      </c>
      <c r="AI7" s="4">
        <v>104.3</v>
      </c>
      <c r="AJ7" s="20">
        <v>34.5</v>
      </c>
      <c r="AM7" s="71">
        <v>0.92732997152477903</v>
      </c>
      <c r="AN7">
        <v>834.41062437517689</v>
      </c>
      <c r="AO7" t="e">
        <v>#N/A</v>
      </c>
      <c r="AP7" s="72" t="e">
        <v>#N/A</v>
      </c>
    </row>
    <row r="8" spans="2:42" x14ac:dyDescent="0.2">
      <c r="B8" s="35">
        <v>2012</v>
      </c>
      <c r="C8" s="16">
        <v>15137</v>
      </c>
      <c r="D8" s="4">
        <v>3744.38</v>
      </c>
      <c r="E8" s="4">
        <v>13.4</v>
      </c>
      <c r="F8" s="4">
        <v>103.7</v>
      </c>
      <c r="G8" s="12">
        <v>123.2</v>
      </c>
      <c r="H8" s="4">
        <f>0.2095*100</f>
        <v>20.95</v>
      </c>
      <c r="I8" s="20">
        <v>33.6</v>
      </c>
      <c r="L8" s="35">
        <v>2012</v>
      </c>
      <c r="M8" s="16">
        <v>15137</v>
      </c>
      <c r="N8" s="4">
        <v>3744.38</v>
      </c>
      <c r="O8" s="4">
        <v>13.4</v>
      </c>
      <c r="P8" s="4">
        <v>103.7</v>
      </c>
      <c r="Q8" s="4">
        <f>0.2095*100</f>
        <v>20.95</v>
      </c>
      <c r="R8" s="20">
        <v>33.6</v>
      </c>
      <c r="V8" s="35">
        <v>2012</v>
      </c>
      <c r="W8" s="16">
        <v>15137</v>
      </c>
      <c r="X8" s="4">
        <v>3744.38</v>
      </c>
      <c r="Y8" s="4">
        <v>103.7</v>
      </c>
      <c r="Z8" s="4">
        <f>0.2095*100</f>
        <v>20.95</v>
      </c>
      <c r="AA8" s="20">
        <v>33.6</v>
      </c>
      <c r="AF8" s="35">
        <v>2012</v>
      </c>
      <c r="AG8" s="16">
        <v>15137</v>
      </c>
      <c r="AH8" s="4">
        <v>3744.38</v>
      </c>
      <c r="AI8" s="4">
        <v>103.7</v>
      </c>
      <c r="AJ8" s="20">
        <v>33.6</v>
      </c>
      <c r="AM8" s="71">
        <v>51.043325067141332</v>
      </c>
      <c r="AN8">
        <v>12</v>
      </c>
      <c r="AO8" t="e">
        <v>#N/A</v>
      </c>
      <c r="AP8" s="72" t="e">
        <v>#N/A</v>
      </c>
    </row>
    <row r="9" spans="2:42" ht="17" thickBot="1" x14ac:dyDescent="0.25">
      <c r="B9" s="35">
        <v>2013</v>
      </c>
      <c r="C9" s="16">
        <v>15807</v>
      </c>
      <c r="D9" s="4">
        <v>3877.43</v>
      </c>
      <c r="E9" s="4">
        <v>13.4</v>
      </c>
      <c r="F9" s="4">
        <v>100.9</v>
      </c>
      <c r="G9" s="12">
        <v>123.1</v>
      </c>
      <c r="H9" s="4">
        <f>0.201999*100</f>
        <v>20.1999</v>
      </c>
      <c r="I9" s="20">
        <v>33.799999999999997</v>
      </c>
      <c r="L9" s="35">
        <v>2013</v>
      </c>
      <c r="M9" s="16">
        <v>15807</v>
      </c>
      <c r="N9" s="4">
        <v>3877.43</v>
      </c>
      <c r="O9" s="4">
        <v>13.4</v>
      </c>
      <c r="P9" s="4">
        <v>100.9</v>
      </c>
      <c r="Q9" s="4">
        <f>0.201999*100</f>
        <v>20.1999</v>
      </c>
      <c r="R9" s="20">
        <v>33.799999999999997</v>
      </c>
      <c r="V9" s="35">
        <v>2013</v>
      </c>
      <c r="W9" s="16">
        <v>15807</v>
      </c>
      <c r="X9" s="4">
        <v>3877.43</v>
      </c>
      <c r="Y9" s="4">
        <v>100.9</v>
      </c>
      <c r="Z9" s="4">
        <f>0.201999*100</f>
        <v>20.1999</v>
      </c>
      <c r="AA9" s="20">
        <v>33.799999999999997</v>
      </c>
      <c r="AF9" s="35">
        <v>2013</v>
      </c>
      <c r="AG9" s="16">
        <v>15807</v>
      </c>
      <c r="AH9" s="4">
        <v>3877.43</v>
      </c>
      <c r="AI9" s="4">
        <v>100.9</v>
      </c>
      <c r="AJ9" s="20">
        <v>33.799999999999997</v>
      </c>
      <c r="AM9" s="73">
        <v>106615380.85665792</v>
      </c>
      <c r="AN9" s="6">
        <v>8354893.0808420712</v>
      </c>
      <c r="AO9" s="6" t="e">
        <v>#N/A</v>
      </c>
      <c r="AP9" s="74" t="e">
        <v>#N/A</v>
      </c>
    </row>
    <row r="10" spans="2:42" x14ac:dyDescent="0.2">
      <c r="B10" s="35">
        <v>2014</v>
      </c>
      <c r="C10" s="16">
        <v>17325</v>
      </c>
      <c r="D10" s="4">
        <v>4003.99</v>
      </c>
      <c r="E10" s="4">
        <v>11.4</v>
      </c>
      <c r="F10" s="4">
        <v>100</v>
      </c>
      <c r="G10" s="12">
        <v>123.1</v>
      </c>
      <c r="H10" s="4">
        <f>0.1947*100</f>
        <v>19.470000000000002</v>
      </c>
      <c r="I10" s="20">
        <v>34.799999999999997</v>
      </c>
      <c r="L10" s="35">
        <v>2014</v>
      </c>
      <c r="M10" s="16">
        <v>17325</v>
      </c>
      <c r="N10" s="4">
        <v>4003.99</v>
      </c>
      <c r="O10" s="4">
        <v>11.4</v>
      </c>
      <c r="P10" s="4">
        <v>100</v>
      </c>
      <c r="Q10" s="4">
        <f>0.1947*100</f>
        <v>19.470000000000002</v>
      </c>
      <c r="R10" s="20">
        <v>34.799999999999997</v>
      </c>
      <c r="V10" s="35">
        <v>2014</v>
      </c>
      <c r="W10" s="16">
        <v>17325</v>
      </c>
      <c r="X10" s="4">
        <v>4003.99</v>
      </c>
      <c r="Y10" s="4">
        <v>100</v>
      </c>
      <c r="Z10" s="4">
        <f>0.1947*100</f>
        <v>19.470000000000002</v>
      </c>
      <c r="AA10" s="20">
        <v>34.799999999999997</v>
      </c>
      <c r="AF10" s="35">
        <v>2014</v>
      </c>
      <c r="AG10" s="16">
        <v>17325</v>
      </c>
      <c r="AH10" s="4">
        <v>4003.99</v>
      </c>
      <c r="AI10" s="4">
        <v>100</v>
      </c>
      <c r="AJ10" s="20">
        <v>34.799999999999997</v>
      </c>
    </row>
    <row r="11" spans="2:42" x14ac:dyDescent="0.2">
      <c r="B11" s="35">
        <v>2015</v>
      </c>
      <c r="C11" s="16">
        <v>18611</v>
      </c>
      <c r="D11" s="4">
        <v>4150.8599999999997</v>
      </c>
      <c r="E11" s="4">
        <v>9.6999999999999993</v>
      </c>
      <c r="F11" s="4">
        <v>99.1</v>
      </c>
      <c r="G11" s="12">
        <v>122.9</v>
      </c>
      <c r="H11" s="4">
        <f>0.1879*100</f>
        <v>18.790000000000003</v>
      </c>
      <c r="I11" s="20">
        <v>36.700000000000003</v>
      </c>
      <c r="L11" s="35">
        <v>2015</v>
      </c>
      <c r="M11" s="16">
        <v>18611</v>
      </c>
      <c r="N11" s="4">
        <v>4150.8599999999997</v>
      </c>
      <c r="O11" s="4">
        <v>9.6999999999999993</v>
      </c>
      <c r="P11" s="4">
        <v>99.1</v>
      </c>
      <c r="Q11" s="4">
        <f>0.1879*100</f>
        <v>18.790000000000003</v>
      </c>
      <c r="R11" s="20">
        <v>36.700000000000003</v>
      </c>
      <c r="V11" s="35">
        <v>2015</v>
      </c>
      <c r="W11" s="16">
        <v>18611</v>
      </c>
      <c r="X11" s="4">
        <v>4150.8599999999997</v>
      </c>
      <c r="Y11" s="4">
        <v>99.1</v>
      </c>
      <c r="Z11" s="4">
        <f>0.1879*100</f>
        <v>18.790000000000003</v>
      </c>
      <c r="AA11" s="20">
        <v>36.700000000000003</v>
      </c>
      <c r="AF11" s="35">
        <v>2015</v>
      </c>
      <c r="AG11" s="16">
        <v>18611</v>
      </c>
      <c r="AH11" s="4">
        <v>4150.8599999999997</v>
      </c>
      <c r="AI11" s="4">
        <v>99.1</v>
      </c>
      <c r="AJ11" s="20">
        <v>36.700000000000003</v>
      </c>
    </row>
    <row r="12" spans="2:42" x14ac:dyDescent="0.2">
      <c r="B12" s="35">
        <v>2016</v>
      </c>
      <c r="C12" s="16">
        <v>19623</v>
      </c>
      <c r="D12" s="4">
        <v>4290.5200000000004</v>
      </c>
      <c r="E12" s="4">
        <v>8.1999999999999993</v>
      </c>
      <c r="F12" s="4">
        <v>99.4</v>
      </c>
      <c r="G12" s="12">
        <v>122.9</v>
      </c>
      <c r="H12" s="4">
        <f>0.1817*100</f>
        <v>18.170000000000002</v>
      </c>
      <c r="I12" s="20">
        <v>38.1</v>
      </c>
      <c r="L12" s="35">
        <v>2016</v>
      </c>
      <c r="M12" s="16">
        <v>19623</v>
      </c>
      <c r="N12" s="4">
        <v>4290.5200000000004</v>
      </c>
      <c r="O12" s="4">
        <v>8.1999999999999993</v>
      </c>
      <c r="P12" s="4">
        <v>99.4</v>
      </c>
      <c r="Q12" s="4">
        <f>0.1817*100</f>
        <v>18.170000000000002</v>
      </c>
      <c r="R12" s="20">
        <v>38.1</v>
      </c>
      <c r="V12" s="35">
        <v>2016</v>
      </c>
      <c r="W12" s="16">
        <v>19623</v>
      </c>
      <c r="X12" s="4">
        <v>4290.5200000000004</v>
      </c>
      <c r="Y12" s="4">
        <v>99.4</v>
      </c>
      <c r="Z12" s="4">
        <f>0.1817*100</f>
        <v>18.170000000000002</v>
      </c>
      <c r="AA12" s="20">
        <v>38.1</v>
      </c>
      <c r="AF12" s="35">
        <v>2016</v>
      </c>
      <c r="AG12" s="16">
        <v>19623</v>
      </c>
      <c r="AH12" s="4">
        <v>4290.5200000000004</v>
      </c>
      <c r="AI12" s="4">
        <v>99.4</v>
      </c>
      <c r="AJ12" s="20">
        <v>38.1</v>
      </c>
    </row>
    <row r="13" spans="2:42" x14ac:dyDescent="0.2">
      <c r="B13" s="35">
        <v>2017</v>
      </c>
      <c r="C13" s="16">
        <v>19125</v>
      </c>
      <c r="D13" s="4">
        <v>4527.8900000000003</v>
      </c>
      <c r="E13" s="4">
        <v>6.6</v>
      </c>
      <c r="F13" s="4">
        <v>102</v>
      </c>
      <c r="G13" s="12">
        <v>122.9</v>
      </c>
      <c r="H13" s="4">
        <f>0.1758*100</f>
        <v>17.580000000000002</v>
      </c>
      <c r="I13" s="20">
        <v>39.299999999999997</v>
      </c>
      <c r="L13" s="35">
        <v>2017</v>
      </c>
      <c r="M13" s="16">
        <v>19125</v>
      </c>
      <c r="N13" s="4">
        <v>4527.8900000000003</v>
      </c>
      <c r="O13" s="4">
        <v>6.6</v>
      </c>
      <c r="P13" s="4">
        <v>102</v>
      </c>
      <c r="Q13" s="4">
        <f>0.1758*100</f>
        <v>17.580000000000002</v>
      </c>
      <c r="R13" s="20">
        <v>39.299999999999997</v>
      </c>
      <c r="V13" s="35">
        <v>2017</v>
      </c>
      <c r="W13" s="16">
        <v>19125</v>
      </c>
      <c r="X13" s="4">
        <v>4527.8900000000003</v>
      </c>
      <c r="Y13" s="4">
        <v>102</v>
      </c>
      <c r="Z13" s="4">
        <f>0.1758*100</f>
        <v>17.580000000000002</v>
      </c>
      <c r="AA13" s="20">
        <v>39.299999999999997</v>
      </c>
      <c r="AF13" s="35">
        <v>2017</v>
      </c>
      <c r="AG13" s="16">
        <v>19125</v>
      </c>
      <c r="AH13" s="4">
        <v>4527.8900000000003</v>
      </c>
      <c r="AI13" s="4">
        <v>102</v>
      </c>
      <c r="AJ13" s="20">
        <v>39.299999999999997</v>
      </c>
    </row>
    <row r="14" spans="2:42" x14ac:dyDescent="0.2">
      <c r="B14" s="35">
        <v>2018</v>
      </c>
      <c r="C14" s="16">
        <v>17700</v>
      </c>
      <c r="D14" s="4">
        <v>4834.76</v>
      </c>
      <c r="E14" s="4">
        <v>5.8</v>
      </c>
      <c r="F14" s="4">
        <v>101.6</v>
      </c>
      <c r="G14" s="12">
        <v>122.8</v>
      </c>
      <c r="H14" s="4">
        <f>0.1702*100</f>
        <v>17.02</v>
      </c>
      <c r="I14" s="20">
        <v>40.1</v>
      </c>
      <c r="L14" s="35">
        <v>2018</v>
      </c>
      <c r="M14" s="16">
        <v>17700</v>
      </c>
      <c r="N14" s="4">
        <v>4834.76</v>
      </c>
      <c r="O14" s="4">
        <v>5.8</v>
      </c>
      <c r="P14" s="4">
        <v>101.6</v>
      </c>
      <c r="Q14" s="4">
        <f>0.1702*100</f>
        <v>17.02</v>
      </c>
      <c r="R14" s="20">
        <v>40.1</v>
      </c>
      <c r="V14" s="35">
        <v>2018</v>
      </c>
      <c r="W14" s="16">
        <v>17700</v>
      </c>
      <c r="X14" s="4">
        <v>4834.76</v>
      </c>
      <c r="Y14" s="4">
        <v>101.6</v>
      </c>
      <c r="Z14" s="4">
        <f>0.1702*100</f>
        <v>17.02</v>
      </c>
      <c r="AA14" s="20">
        <v>40.1</v>
      </c>
      <c r="AF14" s="35">
        <v>2018</v>
      </c>
      <c r="AG14" s="16">
        <v>17700</v>
      </c>
      <c r="AH14" s="4">
        <v>4834.76</v>
      </c>
      <c r="AI14" s="4">
        <v>101.6</v>
      </c>
      <c r="AJ14" s="20">
        <v>40.1</v>
      </c>
    </row>
    <row r="15" spans="2:42" x14ac:dyDescent="0.2">
      <c r="B15" s="35">
        <v>2019</v>
      </c>
      <c r="C15" s="16">
        <v>20260</v>
      </c>
      <c r="D15" s="4">
        <v>5181.63</v>
      </c>
      <c r="E15" s="4">
        <v>5.2</v>
      </c>
      <c r="F15" s="4">
        <v>102.3</v>
      </c>
      <c r="G15" s="12">
        <v>122.7</v>
      </c>
      <c r="H15" s="4">
        <f>0.1653*100</f>
        <v>16.53</v>
      </c>
      <c r="I15" s="20">
        <v>40.6</v>
      </c>
      <c r="L15" s="35">
        <v>2019</v>
      </c>
      <c r="M15" s="16">
        <v>20260</v>
      </c>
      <c r="N15" s="4">
        <v>5181.63</v>
      </c>
      <c r="O15" s="4">
        <v>5.2</v>
      </c>
      <c r="P15" s="4">
        <v>102.3</v>
      </c>
      <c r="Q15" s="4">
        <f>0.1653*100</f>
        <v>16.53</v>
      </c>
      <c r="R15" s="20">
        <v>40.6</v>
      </c>
      <c r="V15" s="35">
        <v>2019</v>
      </c>
      <c r="W15" s="16">
        <v>20260</v>
      </c>
      <c r="X15" s="4">
        <v>5181.63</v>
      </c>
      <c r="Y15" s="4">
        <v>102.3</v>
      </c>
      <c r="Z15" s="4">
        <f>0.1653*100</f>
        <v>16.53</v>
      </c>
      <c r="AA15" s="20">
        <v>40.6</v>
      </c>
      <c r="AF15" s="35">
        <v>2019</v>
      </c>
      <c r="AG15" s="16">
        <v>20260</v>
      </c>
      <c r="AH15" s="4">
        <v>5181.63</v>
      </c>
      <c r="AI15" s="4">
        <v>102.3</v>
      </c>
      <c r="AJ15" s="20">
        <v>40.6</v>
      </c>
    </row>
    <row r="16" spans="2:42" x14ac:dyDescent="0.2">
      <c r="B16" s="35">
        <v>2020</v>
      </c>
      <c r="C16" s="16">
        <v>17778</v>
      </c>
      <c r="D16" s="4">
        <v>5523.32</v>
      </c>
      <c r="E16" s="4">
        <v>6.3</v>
      </c>
      <c r="F16" s="4">
        <v>103.4</v>
      </c>
      <c r="G16" s="12">
        <v>121.8</v>
      </c>
      <c r="H16" s="4">
        <f>0.1599*100</f>
        <v>15.989999999999998</v>
      </c>
      <c r="I16" s="20">
        <v>26.8</v>
      </c>
      <c r="L16" s="35">
        <v>2020</v>
      </c>
      <c r="M16" s="16">
        <v>17778</v>
      </c>
      <c r="N16" s="4">
        <v>5523.32</v>
      </c>
      <c r="O16" s="4">
        <v>6.3</v>
      </c>
      <c r="P16" s="4">
        <v>103.4</v>
      </c>
      <c r="Q16" s="4">
        <f>0.1599*100</f>
        <v>15.989999999999998</v>
      </c>
      <c r="R16" s="20">
        <v>26.8</v>
      </c>
      <c r="V16" s="35">
        <v>2020</v>
      </c>
      <c r="W16" s="16">
        <v>17778</v>
      </c>
      <c r="X16" s="4">
        <v>5523.32</v>
      </c>
      <c r="Y16" s="4">
        <v>103.4</v>
      </c>
      <c r="Z16" s="4">
        <f>0.1599*100</f>
        <v>15.989999999999998</v>
      </c>
      <c r="AA16" s="20">
        <v>26.8</v>
      </c>
      <c r="AF16" s="35">
        <v>2020</v>
      </c>
      <c r="AG16" s="16">
        <v>17778</v>
      </c>
      <c r="AH16" s="4">
        <v>5523.32</v>
      </c>
      <c r="AI16" s="4">
        <v>103.4</v>
      </c>
      <c r="AJ16" s="20">
        <v>26.8</v>
      </c>
    </row>
    <row r="17" spans="2:36" x14ac:dyDescent="0.2">
      <c r="B17" s="35">
        <v>2021</v>
      </c>
      <c r="C17" s="16">
        <v>18789</v>
      </c>
      <c r="D17" s="4">
        <v>6001.02</v>
      </c>
      <c r="E17" s="4">
        <v>5.8</v>
      </c>
      <c r="F17" s="4">
        <v>105.1</v>
      </c>
      <c r="G17" s="12">
        <v>121.2</v>
      </c>
      <c r="H17" s="4">
        <f>0.1566*100</f>
        <v>15.659999999999998</v>
      </c>
      <c r="I17" s="20">
        <v>32.299999999999997</v>
      </c>
      <c r="L17" s="35">
        <v>2021</v>
      </c>
      <c r="M17" s="16">
        <v>18789</v>
      </c>
      <c r="N17" s="4">
        <v>6001.02</v>
      </c>
      <c r="O17" s="4">
        <v>5.8</v>
      </c>
      <c r="P17" s="4">
        <v>105.1</v>
      </c>
      <c r="Q17" s="4">
        <f>0.1566*100</f>
        <v>15.659999999999998</v>
      </c>
      <c r="R17" s="20">
        <v>32.299999999999997</v>
      </c>
      <c r="V17" s="35">
        <v>2021</v>
      </c>
      <c r="W17" s="16">
        <v>18789</v>
      </c>
      <c r="X17" s="4">
        <v>6001.02</v>
      </c>
      <c r="Y17" s="4">
        <v>105.1</v>
      </c>
      <c r="Z17" s="4">
        <f>0.1566*100</f>
        <v>15.659999999999998</v>
      </c>
      <c r="AA17" s="20">
        <v>32.299999999999997</v>
      </c>
      <c r="AF17" s="35">
        <v>2021</v>
      </c>
      <c r="AG17" s="16">
        <v>18789</v>
      </c>
      <c r="AH17" s="4">
        <v>6001.02</v>
      </c>
      <c r="AI17" s="4">
        <v>105.1</v>
      </c>
      <c r="AJ17" s="20">
        <v>32.299999999999997</v>
      </c>
    </row>
    <row r="18" spans="2:36" x14ac:dyDescent="0.2">
      <c r="B18" s="35">
        <v>2022</v>
      </c>
      <c r="C18" s="16">
        <v>20215</v>
      </c>
      <c r="D18" s="4">
        <v>6705.62</v>
      </c>
      <c r="E18" s="4">
        <v>5.2</v>
      </c>
      <c r="F18" s="4">
        <v>114.4</v>
      </c>
      <c r="G18" s="12">
        <v>120.8</v>
      </c>
      <c r="H18" s="4">
        <f>0.1544*100</f>
        <v>15.440000000000001</v>
      </c>
      <c r="I18" s="20">
        <v>40.4</v>
      </c>
      <c r="L18" s="35">
        <v>2022</v>
      </c>
      <c r="M18" s="16">
        <v>20215</v>
      </c>
      <c r="N18" s="4">
        <v>6705.62</v>
      </c>
      <c r="O18" s="4">
        <v>5.2</v>
      </c>
      <c r="P18" s="4">
        <v>114.4</v>
      </c>
      <c r="Q18" s="4">
        <f>0.1544*100</f>
        <v>15.440000000000001</v>
      </c>
      <c r="R18" s="20">
        <v>40.4</v>
      </c>
      <c r="V18" s="35">
        <v>2022</v>
      </c>
      <c r="W18" s="16">
        <v>20215</v>
      </c>
      <c r="X18" s="4">
        <v>6705.62</v>
      </c>
      <c r="Y18" s="4">
        <v>114.4</v>
      </c>
      <c r="Z18" s="4">
        <f>0.1544*100</f>
        <v>15.440000000000001</v>
      </c>
      <c r="AA18" s="20">
        <v>40.4</v>
      </c>
      <c r="AF18" s="35">
        <v>2022</v>
      </c>
      <c r="AG18" s="16">
        <v>20215</v>
      </c>
      <c r="AH18" s="4">
        <v>6705.62</v>
      </c>
      <c r="AI18" s="4">
        <v>114.4</v>
      </c>
      <c r="AJ18" s="20">
        <v>40.4</v>
      </c>
    </row>
    <row r="19" spans="2:36" ht="17" thickBot="1" x14ac:dyDescent="0.25">
      <c r="B19" s="36">
        <v>2023</v>
      </c>
      <c r="C19" s="21">
        <v>22187</v>
      </c>
      <c r="D19" s="5">
        <v>7595.3</v>
      </c>
      <c r="E19" s="5">
        <v>5.0999999999999996</v>
      </c>
      <c r="F19" s="5">
        <v>111.4</v>
      </c>
      <c r="G19" s="22">
        <v>119.9</v>
      </c>
      <c r="H19" s="5">
        <f>0.1535*100</f>
        <v>15.35</v>
      </c>
      <c r="I19" s="15">
        <v>40.5</v>
      </c>
      <c r="L19" s="36">
        <v>2023</v>
      </c>
      <c r="M19" s="21">
        <v>22187</v>
      </c>
      <c r="N19" s="5">
        <v>7595.3</v>
      </c>
      <c r="O19" s="5">
        <v>5.0999999999999996</v>
      </c>
      <c r="P19" s="5">
        <v>111.4</v>
      </c>
      <c r="Q19" s="5">
        <f>0.1535*100</f>
        <v>15.35</v>
      </c>
      <c r="R19" s="15">
        <v>40.5</v>
      </c>
      <c r="V19" s="36">
        <v>2023</v>
      </c>
      <c r="W19" s="21">
        <v>22187</v>
      </c>
      <c r="X19" s="5">
        <v>7595.3</v>
      </c>
      <c r="Y19" s="5">
        <v>111.4</v>
      </c>
      <c r="Z19" s="5">
        <f>0.1535*100</f>
        <v>15.35</v>
      </c>
      <c r="AA19" s="15">
        <v>40.5</v>
      </c>
      <c r="AF19" s="36">
        <v>2023</v>
      </c>
      <c r="AG19" s="21">
        <v>22187</v>
      </c>
      <c r="AH19" s="5">
        <v>7595.3</v>
      </c>
      <c r="AI19" s="5">
        <v>111.4</v>
      </c>
      <c r="AJ19" s="15">
        <v>40.5</v>
      </c>
    </row>
    <row r="22" spans="2:36" x14ac:dyDescent="0.2">
      <c r="B22" s="27" t="s">
        <v>33</v>
      </c>
      <c r="L22" s="27" t="s">
        <v>34</v>
      </c>
      <c r="V22" s="169" t="s">
        <v>36</v>
      </c>
    </row>
    <row r="23" spans="2:36" x14ac:dyDescent="0.2">
      <c r="B23" t="s">
        <v>4</v>
      </c>
      <c r="L23" t="s">
        <v>4</v>
      </c>
      <c r="V23" t="s">
        <v>4</v>
      </c>
      <c r="AF23" s="169" t="s">
        <v>37</v>
      </c>
    </row>
    <row r="24" spans="2:36" ht="17" thickBot="1" x14ac:dyDescent="0.25">
      <c r="AF24" t="s">
        <v>4</v>
      </c>
    </row>
    <row r="25" spans="2:36" ht="17" thickBot="1" x14ac:dyDescent="0.25">
      <c r="B25" s="8" t="s">
        <v>5</v>
      </c>
      <c r="C25" s="8"/>
      <c r="L25" s="8" t="s">
        <v>5</v>
      </c>
      <c r="M25" s="8"/>
      <c r="V25" s="8" t="s">
        <v>5</v>
      </c>
      <c r="W25" s="8"/>
    </row>
    <row r="26" spans="2:36" x14ac:dyDescent="0.2">
      <c r="B26" t="s">
        <v>6</v>
      </c>
      <c r="C26">
        <v>0.97329441410672768</v>
      </c>
      <c r="L26" t="s">
        <v>6</v>
      </c>
      <c r="M26">
        <v>0.97271035144367446</v>
      </c>
      <c r="V26" t="s">
        <v>6</v>
      </c>
      <c r="W26">
        <v>0.96766681443238811</v>
      </c>
      <c r="AF26" s="8" t="s">
        <v>5</v>
      </c>
      <c r="AG26" s="8"/>
    </row>
    <row r="27" spans="2:36" x14ac:dyDescent="0.2">
      <c r="B27" t="s">
        <v>7</v>
      </c>
      <c r="C27">
        <v>0.94730201653135837</v>
      </c>
      <c r="L27" t="s">
        <v>7</v>
      </c>
      <c r="M27">
        <v>0.94616542780567658</v>
      </c>
      <c r="V27" t="s">
        <v>7</v>
      </c>
      <c r="W27">
        <v>0.93637906375372593</v>
      </c>
      <c r="AF27" t="s">
        <v>6</v>
      </c>
      <c r="AG27">
        <v>0.96297973578096596</v>
      </c>
    </row>
    <row r="28" spans="2:36" x14ac:dyDescent="0.2">
      <c r="B28" t="s">
        <v>8</v>
      </c>
      <c r="C28">
        <v>0.91217002755226395</v>
      </c>
      <c r="L28" t="s">
        <v>8</v>
      </c>
      <c r="M28">
        <v>0.91924814170851499</v>
      </c>
      <c r="V28" t="s">
        <v>8</v>
      </c>
      <c r="W28">
        <v>0.91324417784598988</v>
      </c>
      <c r="AF28" t="s">
        <v>7</v>
      </c>
      <c r="AG28">
        <v>0.92732997152477903</v>
      </c>
    </row>
    <row r="29" spans="2:36" x14ac:dyDescent="0.2">
      <c r="B29" t="s">
        <v>9</v>
      </c>
      <c r="C29">
        <v>820.4809968239889</v>
      </c>
      <c r="L29" t="s">
        <v>9</v>
      </c>
      <c r="M29">
        <v>786.72584249466991</v>
      </c>
      <c r="V29" t="s">
        <v>9</v>
      </c>
      <c r="W29">
        <v>815.44836904693409</v>
      </c>
      <c r="AF29" t="s">
        <v>8</v>
      </c>
      <c r="AG29">
        <v>0.90916246440597381</v>
      </c>
    </row>
    <row r="30" spans="2:36" ht="17" thickBot="1" x14ac:dyDescent="0.25">
      <c r="B30" s="6" t="s">
        <v>10</v>
      </c>
      <c r="C30" s="6">
        <v>16</v>
      </c>
      <c r="L30" s="6" t="s">
        <v>10</v>
      </c>
      <c r="M30" s="6">
        <v>16</v>
      </c>
      <c r="V30" s="6" t="s">
        <v>10</v>
      </c>
      <c r="W30" s="6">
        <v>16</v>
      </c>
      <c r="AF30" t="s">
        <v>9</v>
      </c>
      <c r="AG30">
        <v>834.41062437517689</v>
      </c>
    </row>
    <row r="31" spans="2:36" ht="17" thickBot="1" x14ac:dyDescent="0.25">
      <c r="AF31" s="6" t="s">
        <v>10</v>
      </c>
      <c r="AG31" s="6">
        <v>16</v>
      </c>
    </row>
    <row r="32" spans="2:36" ht="17" thickBot="1" x14ac:dyDescent="0.25">
      <c r="B32" t="s">
        <v>11</v>
      </c>
      <c r="L32" t="s">
        <v>11</v>
      </c>
      <c r="V32" t="s">
        <v>11</v>
      </c>
    </row>
    <row r="33" spans="2:40" ht="17" thickBot="1" x14ac:dyDescent="0.25">
      <c r="B33" s="7"/>
      <c r="C33" s="7" t="s">
        <v>12</v>
      </c>
      <c r="D33" s="7" t="s">
        <v>13</v>
      </c>
      <c r="E33" s="7" t="s">
        <v>14</v>
      </c>
      <c r="F33" s="7" t="s">
        <v>15</v>
      </c>
      <c r="G33" s="7" t="s">
        <v>16</v>
      </c>
      <c r="L33" s="7"/>
      <c r="M33" s="7" t="s">
        <v>12</v>
      </c>
      <c r="N33" s="7" t="s">
        <v>13</v>
      </c>
      <c r="O33" s="7" t="s">
        <v>14</v>
      </c>
      <c r="P33" s="7" t="s">
        <v>15</v>
      </c>
      <c r="Q33" s="7" t="s">
        <v>16</v>
      </c>
      <c r="V33" s="7"/>
      <c r="W33" s="7" t="s">
        <v>12</v>
      </c>
      <c r="X33" s="7" t="s">
        <v>13</v>
      </c>
      <c r="Y33" s="7" t="s">
        <v>14</v>
      </c>
      <c r="Z33" s="7" t="s">
        <v>15</v>
      </c>
      <c r="AA33" s="7" t="s">
        <v>16</v>
      </c>
      <c r="AF33" t="s">
        <v>11</v>
      </c>
    </row>
    <row r="34" spans="2:40" x14ac:dyDescent="0.2">
      <c r="B34" t="s">
        <v>17</v>
      </c>
      <c r="C34">
        <v>6</v>
      </c>
      <c r="D34">
        <v>108911572.34215643</v>
      </c>
      <c r="E34">
        <v>18151928.723692738</v>
      </c>
      <c r="F34">
        <v>26.964087262325442</v>
      </c>
      <c r="G34">
        <v>2.8977925007022463E-5</v>
      </c>
      <c r="L34" t="s">
        <v>17</v>
      </c>
      <c r="M34">
        <v>5</v>
      </c>
      <c r="N34">
        <v>108780898.42501052</v>
      </c>
      <c r="O34">
        <v>21756179.685002103</v>
      </c>
      <c r="P34">
        <v>35.150847837718871</v>
      </c>
      <c r="Q34">
        <v>4.9514344619529808E-6</v>
      </c>
      <c r="V34" t="s">
        <v>17</v>
      </c>
      <c r="W34">
        <v>4</v>
      </c>
      <c r="X34">
        <v>107655757.46910565</v>
      </c>
      <c r="Y34">
        <v>26913939.367276412</v>
      </c>
      <c r="Z34">
        <v>40.474764711963068</v>
      </c>
      <c r="AA34">
        <v>1.6168934997289226E-6</v>
      </c>
      <c r="AF34" s="7"/>
      <c r="AG34" s="7" t="s">
        <v>12</v>
      </c>
      <c r="AH34" s="7" t="s">
        <v>13</v>
      </c>
      <c r="AI34" s="7" t="s">
        <v>14</v>
      </c>
      <c r="AJ34" s="7" t="s">
        <v>15</v>
      </c>
      <c r="AK34" s="7" t="s">
        <v>16</v>
      </c>
    </row>
    <row r="35" spans="2:40" x14ac:dyDescent="0.2">
      <c r="B35" t="s">
        <v>18</v>
      </c>
      <c r="C35">
        <v>9</v>
      </c>
      <c r="D35">
        <v>6058701.5953435795</v>
      </c>
      <c r="E35">
        <v>673189.06614928658</v>
      </c>
      <c r="L35" t="s">
        <v>18</v>
      </c>
      <c r="M35">
        <v>10</v>
      </c>
      <c r="N35">
        <v>6189375.5124894818</v>
      </c>
      <c r="O35">
        <v>618937.55124894821</v>
      </c>
      <c r="V35" t="s">
        <v>18</v>
      </c>
      <c r="W35">
        <v>11</v>
      </c>
      <c r="X35">
        <v>7314516.468394354</v>
      </c>
      <c r="Y35">
        <v>664956.04258130491</v>
      </c>
      <c r="AF35" t="s">
        <v>17</v>
      </c>
      <c r="AG35">
        <v>3</v>
      </c>
      <c r="AH35">
        <v>106615380.85665792</v>
      </c>
      <c r="AI35">
        <v>35538460.285552643</v>
      </c>
      <c r="AJ35">
        <v>51.043325067141332</v>
      </c>
      <c r="AK35">
        <v>4.1823174729643182E-7</v>
      </c>
    </row>
    <row r="36" spans="2:40" ht="17" thickBot="1" x14ac:dyDescent="0.25">
      <c r="B36" s="6" t="s">
        <v>19</v>
      </c>
      <c r="C36" s="6">
        <v>15</v>
      </c>
      <c r="D36" s="6">
        <v>114970273.9375</v>
      </c>
      <c r="E36" s="6"/>
      <c r="F36" s="6"/>
      <c r="G36" s="6"/>
      <c r="L36" s="6" t="s">
        <v>19</v>
      </c>
      <c r="M36" s="6">
        <v>15</v>
      </c>
      <c r="N36" s="6">
        <v>114970273.9375</v>
      </c>
      <c r="O36" s="6"/>
      <c r="P36" s="6"/>
      <c r="Q36" s="6"/>
      <c r="V36" s="6" t="s">
        <v>19</v>
      </c>
      <c r="W36" s="6">
        <v>15</v>
      </c>
      <c r="X36" s="6">
        <v>114970273.9375</v>
      </c>
      <c r="Y36" s="6"/>
      <c r="Z36" s="6"/>
      <c r="AA36" s="6"/>
      <c r="AF36" t="s">
        <v>18</v>
      </c>
      <c r="AG36">
        <v>12</v>
      </c>
      <c r="AH36">
        <v>8354893.0808420712</v>
      </c>
      <c r="AI36">
        <v>696241.09007017256</v>
      </c>
    </row>
    <row r="37" spans="2:40" ht="17" thickBot="1" x14ac:dyDescent="0.25">
      <c r="AF37" s="6" t="s">
        <v>19</v>
      </c>
      <c r="AG37" s="6">
        <v>15</v>
      </c>
      <c r="AH37" s="6">
        <v>114970273.9375</v>
      </c>
      <c r="AI37" s="6"/>
      <c r="AJ37" s="6"/>
      <c r="AK37" s="6"/>
    </row>
    <row r="38" spans="2:40" ht="17" thickBot="1" x14ac:dyDescent="0.25">
      <c r="B38" s="7"/>
      <c r="C38" s="7" t="s">
        <v>20</v>
      </c>
      <c r="D38" s="7" t="s">
        <v>9</v>
      </c>
      <c r="E38" s="7" t="s">
        <v>21</v>
      </c>
      <c r="F38" s="7" t="s">
        <v>22</v>
      </c>
      <c r="G38" s="7" t="s">
        <v>23</v>
      </c>
      <c r="H38" s="7" t="s">
        <v>24</v>
      </c>
      <c r="I38" s="7" t="s">
        <v>25</v>
      </c>
      <c r="J38" s="7" t="s">
        <v>26</v>
      </c>
      <c r="L38" s="7"/>
      <c r="M38" s="7" t="s">
        <v>20</v>
      </c>
      <c r="N38" s="7" t="s">
        <v>9</v>
      </c>
      <c r="O38" s="7" t="s">
        <v>21</v>
      </c>
      <c r="P38" s="7" t="s">
        <v>22</v>
      </c>
      <c r="Q38" s="7" t="s">
        <v>23</v>
      </c>
      <c r="R38" s="7" t="s">
        <v>24</v>
      </c>
      <c r="S38" s="7" t="s">
        <v>25</v>
      </c>
      <c r="T38" s="7" t="s">
        <v>26</v>
      </c>
      <c r="V38" s="7"/>
      <c r="W38" s="7" t="s">
        <v>20</v>
      </c>
      <c r="X38" s="7" t="s">
        <v>9</v>
      </c>
      <c r="Y38" s="7" t="s">
        <v>21</v>
      </c>
      <c r="Z38" s="7" t="s">
        <v>22</v>
      </c>
      <c r="AA38" s="7" t="s">
        <v>23</v>
      </c>
      <c r="AB38" s="7" t="s">
        <v>24</v>
      </c>
      <c r="AC38" s="7" t="s">
        <v>25</v>
      </c>
      <c r="AD38" s="7" t="s">
        <v>26</v>
      </c>
    </row>
    <row r="39" spans="2:40" x14ac:dyDescent="0.2">
      <c r="B39" t="s">
        <v>27</v>
      </c>
      <c r="C39">
        <v>84678.265682720375</v>
      </c>
      <c r="D39">
        <v>108121.11492581134</v>
      </c>
      <c r="E39">
        <v>0.78317973081227865</v>
      </c>
      <c r="F39">
        <v>0.45363646058189522</v>
      </c>
      <c r="G39">
        <v>-159908.6888964317</v>
      </c>
      <c r="H39">
        <v>329265.22026187246</v>
      </c>
      <c r="I39">
        <v>-159908.6888964317</v>
      </c>
      <c r="J39">
        <v>329265.22026187246</v>
      </c>
      <c r="L39" t="s">
        <v>27</v>
      </c>
      <c r="M39">
        <v>37141.617605038053</v>
      </c>
      <c r="N39">
        <v>6696.5429236689997</v>
      </c>
      <c r="O39">
        <v>5.5463868489158221</v>
      </c>
      <c r="P39">
        <v>2.4533512515088765E-4</v>
      </c>
      <c r="Q39">
        <v>22220.790142817397</v>
      </c>
      <c r="R39">
        <v>52062.445067258705</v>
      </c>
      <c r="S39">
        <v>22220.790142817397</v>
      </c>
      <c r="T39">
        <v>52062.445067258705</v>
      </c>
      <c r="V39" t="s">
        <v>27</v>
      </c>
      <c r="W39">
        <v>38079.568215170133</v>
      </c>
      <c r="X39">
        <v>6903.471524186346</v>
      </c>
      <c r="Y39">
        <v>5.5160027939216061</v>
      </c>
      <c r="Z39">
        <v>1.818052018742747E-4</v>
      </c>
      <c r="AA39">
        <v>22885.129837320783</v>
      </c>
      <c r="AB39">
        <v>53274.006593019483</v>
      </c>
      <c r="AC39">
        <v>22885.129837320783</v>
      </c>
      <c r="AD39">
        <v>53274.006593019483</v>
      </c>
      <c r="AF39" s="7"/>
      <c r="AG39" s="7" t="s">
        <v>20</v>
      </c>
      <c r="AH39" s="7" t="s">
        <v>9</v>
      </c>
      <c r="AI39" s="7" t="s">
        <v>21</v>
      </c>
      <c r="AJ39" s="7" t="s">
        <v>22</v>
      </c>
      <c r="AK39" s="7" t="s">
        <v>23</v>
      </c>
      <c r="AL39" s="7" t="s">
        <v>24</v>
      </c>
      <c r="AM39" s="7" t="s">
        <v>25</v>
      </c>
      <c r="AN39" s="7" t="s">
        <v>26</v>
      </c>
    </row>
    <row r="40" spans="2:40" x14ac:dyDescent="0.2">
      <c r="B40" t="s">
        <v>29</v>
      </c>
      <c r="C40">
        <v>1.05366062454469</v>
      </c>
      <c r="D40">
        <v>1.3804832041401753</v>
      </c>
      <c r="E40">
        <v>0.76325493956368373</v>
      </c>
      <c r="F40">
        <v>0.46484714261509996</v>
      </c>
      <c r="G40">
        <v>-2.0692093438236245</v>
      </c>
      <c r="H40">
        <v>4.1765305929130045</v>
      </c>
      <c r="I40">
        <v>-2.0692093438236245</v>
      </c>
      <c r="J40">
        <v>4.1765305929130045</v>
      </c>
      <c r="L40" t="s">
        <v>29</v>
      </c>
      <c r="M40">
        <v>1.5479899692714163</v>
      </c>
      <c r="N40">
        <v>0.77118983466406477</v>
      </c>
      <c r="O40">
        <v>2.0072748624153358</v>
      </c>
      <c r="P40">
        <v>7.2503449217534446E-2</v>
      </c>
      <c r="Q40">
        <v>-0.17032806360045771</v>
      </c>
      <c r="R40">
        <v>3.2663080021432904</v>
      </c>
      <c r="S40">
        <v>-0.17032806360045771</v>
      </c>
      <c r="T40">
        <v>3.2663080021432904</v>
      </c>
      <c r="V40" t="s">
        <v>29</v>
      </c>
      <c r="W40">
        <v>1.5862354594185515</v>
      </c>
      <c r="X40">
        <v>0.79880424295910135</v>
      </c>
      <c r="Y40">
        <v>1.9857624360412498</v>
      </c>
      <c r="Z40">
        <v>7.2550894858664339E-2</v>
      </c>
      <c r="AA40">
        <v>-0.17192082515266618</v>
      </c>
      <c r="AB40">
        <v>3.3443917439897692</v>
      </c>
      <c r="AC40">
        <v>-0.17192082515266618</v>
      </c>
      <c r="AD40">
        <v>3.3443917439897692</v>
      </c>
      <c r="AF40" t="s">
        <v>27</v>
      </c>
      <c r="AG40">
        <v>39373.261743251824</v>
      </c>
      <c r="AH40">
        <v>6984.2757063156996</v>
      </c>
      <c r="AI40">
        <v>5.6374151592623418</v>
      </c>
      <c r="AJ40">
        <v>1.0944013342118546E-4</v>
      </c>
      <c r="AK40">
        <v>24155.832228398034</v>
      </c>
      <c r="AL40">
        <v>54590.691258105617</v>
      </c>
      <c r="AM40">
        <v>24155.832228398034</v>
      </c>
      <c r="AN40">
        <v>54590.691258105617</v>
      </c>
    </row>
    <row r="41" spans="2:40" x14ac:dyDescent="0.2">
      <c r="B41" t="s">
        <v>30</v>
      </c>
      <c r="C41">
        <v>248.18948861780879</v>
      </c>
      <c r="D41">
        <v>201.54335530281892</v>
      </c>
      <c r="E41">
        <v>1.2314446598594335</v>
      </c>
      <c r="F41">
        <v>0.24936323847001654</v>
      </c>
      <c r="G41">
        <v>-207.73325619484669</v>
      </c>
      <c r="H41">
        <v>704.11223343046424</v>
      </c>
      <c r="I41">
        <v>-207.73325619484669</v>
      </c>
      <c r="J41">
        <v>704.11223343046424</v>
      </c>
      <c r="L41" s="157" t="s">
        <v>30</v>
      </c>
      <c r="M41" s="157">
        <v>186.00920441538463</v>
      </c>
      <c r="N41" s="157">
        <v>137.96038085319441</v>
      </c>
      <c r="O41" s="157">
        <v>1.3482798703877141</v>
      </c>
      <c r="P41" s="157">
        <v>0.20731272946805782</v>
      </c>
      <c r="Q41" s="157">
        <v>-121.38568019844115</v>
      </c>
      <c r="R41" s="157">
        <v>493.40408902921041</v>
      </c>
      <c r="S41" s="157">
        <v>-121.38568019844115</v>
      </c>
      <c r="T41" s="157">
        <v>493.40408902921041</v>
      </c>
      <c r="V41" t="s">
        <v>154</v>
      </c>
      <c r="W41">
        <v>-278.32067795147572</v>
      </c>
      <c r="X41">
        <v>121.05072206994728</v>
      </c>
      <c r="Y41">
        <v>-2.299207086023431</v>
      </c>
      <c r="Z41">
        <v>4.2090598631451523E-2</v>
      </c>
      <c r="AA41">
        <v>-544.75152084580702</v>
      </c>
      <c r="AB41">
        <v>-11.889835057144372</v>
      </c>
      <c r="AC41">
        <v>-544.75152084580702</v>
      </c>
      <c r="AD41">
        <v>-11.889835057144372</v>
      </c>
      <c r="AF41" t="s">
        <v>29</v>
      </c>
      <c r="AG41">
        <v>2.5435498133689332</v>
      </c>
      <c r="AH41">
        <v>0.23409778224668468</v>
      </c>
      <c r="AI41">
        <v>10.865330670619606</v>
      </c>
      <c r="AJ41">
        <v>1.4505890490845721E-7</v>
      </c>
      <c r="AK41">
        <v>2.0334945620132117</v>
      </c>
      <c r="AL41">
        <v>3.0536050647246546</v>
      </c>
      <c r="AM41">
        <v>2.0334945620132117</v>
      </c>
      <c r="AN41">
        <v>3.0536050647246546</v>
      </c>
    </row>
    <row r="42" spans="2:40" x14ac:dyDescent="0.2">
      <c r="B42" t="s">
        <v>154</v>
      </c>
      <c r="C42">
        <v>-256.82216497410781</v>
      </c>
      <c r="D42">
        <v>123.17484010454457</v>
      </c>
      <c r="E42">
        <v>-2.0850212978245408</v>
      </c>
      <c r="F42">
        <v>6.6719841373120398E-2</v>
      </c>
      <c r="G42">
        <v>-535.46301179312695</v>
      </c>
      <c r="H42">
        <v>21.818681844911339</v>
      </c>
      <c r="I42">
        <v>-535.46301179312695</v>
      </c>
      <c r="J42">
        <v>21.818681844911339</v>
      </c>
      <c r="L42" t="s">
        <v>154</v>
      </c>
      <c r="M42">
        <v>-263.00621533631414</v>
      </c>
      <c r="N42">
        <v>117.3380101247449</v>
      </c>
      <c r="O42">
        <v>-2.2414409027109445</v>
      </c>
      <c r="P42">
        <v>4.8884588310160369E-2</v>
      </c>
      <c r="Q42">
        <v>-524.45159451001712</v>
      </c>
      <c r="R42">
        <v>-1.5608361626112068</v>
      </c>
      <c r="S42">
        <v>-524.45159451001712</v>
      </c>
      <c r="T42">
        <v>-1.5608361626112068</v>
      </c>
      <c r="V42" s="157" t="s">
        <v>3</v>
      </c>
      <c r="W42" s="157">
        <v>-356.26444487198586</v>
      </c>
      <c r="X42" s="157">
        <v>284.82208419366447</v>
      </c>
      <c r="Y42" s="157">
        <v>-1.2508315353445143</v>
      </c>
      <c r="Z42" s="157">
        <v>0.23694702102124757</v>
      </c>
      <c r="AA42" s="157">
        <v>-983.1536254486125</v>
      </c>
      <c r="AB42" s="157">
        <v>270.62473570464084</v>
      </c>
      <c r="AC42" s="157">
        <v>-983.1536254486125</v>
      </c>
      <c r="AD42" s="157">
        <v>270.62473570464084</v>
      </c>
      <c r="AF42" t="s">
        <v>154</v>
      </c>
      <c r="AG42">
        <v>-399.73409811594229</v>
      </c>
      <c r="AH42">
        <v>74.010587853682225</v>
      </c>
      <c r="AI42">
        <v>-5.4010393608305121</v>
      </c>
      <c r="AJ42">
        <v>1.5981429098645857E-4</v>
      </c>
      <c r="AK42">
        <v>-560.98931646275867</v>
      </c>
      <c r="AL42">
        <v>-238.47887976912591</v>
      </c>
      <c r="AM42">
        <v>-560.98931646275867</v>
      </c>
      <c r="AN42">
        <v>-238.47887976912591</v>
      </c>
    </row>
    <row r="43" spans="2:40" ht="17" thickBot="1" x14ac:dyDescent="0.25">
      <c r="B43" s="157" t="s">
        <v>157</v>
      </c>
      <c r="C43" s="157">
        <v>-355.67365318074479</v>
      </c>
      <c r="D43" s="157">
        <v>807.28292642172403</v>
      </c>
      <c r="E43" s="157">
        <v>-0.44058116620559012</v>
      </c>
      <c r="F43" s="157">
        <v>0.66990861847277672</v>
      </c>
      <c r="G43" s="157">
        <v>-2181.8745075903444</v>
      </c>
      <c r="H43" s="157">
        <v>1470.5272012288549</v>
      </c>
      <c r="I43" s="157">
        <v>-2181.8745075903444</v>
      </c>
      <c r="J43" s="157">
        <v>1470.5272012288549</v>
      </c>
      <c r="L43" t="s">
        <v>3</v>
      </c>
      <c r="M43">
        <v>-539.73492095981942</v>
      </c>
      <c r="N43">
        <v>306.63741518042741</v>
      </c>
      <c r="O43">
        <v>-1.7601730716463153</v>
      </c>
      <c r="P43">
        <v>0.10887313208703669</v>
      </c>
      <c r="Q43">
        <v>-1222.9656591959756</v>
      </c>
      <c r="R43">
        <v>143.49581727633668</v>
      </c>
      <c r="S43">
        <v>-1222.9656591959756</v>
      </c>
      <c r="T43">
        <v>143.49581727633668</v>
      </c>
      <c r="V43" s="6" t="s">
        <v>32</v>
      </c>
      <c r="W43" s="6">
        <v>206.16234347837175</v>
      </c>
      <c r="X43" s="6">
        <v>58.439309770015278</v>
      </c>
      <c r="Y43" s="6">
        <v>3.5278025063901755</v>
      </c>
      <c r="Z43" s="6">
        <v>4.7330839155385598E-3</v>
      </c>
      <c r="AA43" s="6">
        <v>77.538289908569837</v>
      </c>
      <c r="AB43" s="6">
        <v>334.78639704817368</v>
      </c>
      <c r="AC43" s="6">
        <v>77.538289908569837</v>
      </c>
      <c r="AD43" s="6">
        <v>334.78639704817368</v>
      </c>
      <c r="AF43" s="6" t="s">
        <v>32</v>
      </c>
      <c r="AG43" s="6">
        <v>210.36346164828618</v>
      </c>
      <c r="AH43" s="6">
        <v>59.699402963317617</v>
      </c>
      <c r="AI43" s="6">
        <v>3.523711313788922</v>
      </c>
      <c r="AJ43" s="6">
        <v>4.1946782497467028E-3</v>
      </c>
      <c r="AK43" s="6">
        <v>80.289636548335992</v>
      </c>
      <c r="AL43" s="6">
        <v>340.43728674823637</v>
      </c>
      <c r="AM43" s="6">
        <v>80.289636548335992</v>
      </c>
      <c r="AN43" s="6">
        <v>340.43728674823637</v>
      </c>
    </row>
    <row r="44" spans="2:40" ht="17" thickBot="1" x14ac:dyDescent="0.25">
      <c r="B44" t="s">
        <v>3</v>
      </c>
      <c r="C44">
        <v>-728.65135775502029</v>
      </c>
      <c r="D44">
        <v>534.90965306443945</v>
      </c>
      <c r="E44">
        <v>-1.3621951923668896</v>
      </c>
      <c r="F44">
        <v>0.20625070430400738</v>
      </c>
      <c r="G44">
        <v>-1938.7010608846449</v>
      </c>
      <c r="H44">
        <v>481.39834537460439</v>
      </c>
      <c r="I44">
        <v>-1938.7010608846449</v>
      </c>
      <c r="J44">
        <v>481.39834537460439</v>
      </c>
      <c r="L44" s="6" t="s">
        <v>32</v>
      </c>
      <c r="M44" s="6">
        <v>242.77536961485944</v>
      </c>
      <c r="N44" s="6">
        <v>62.579707651628581</v>
      </c>
      <c r="O44" s="6">
        <v>3.8794583535984515</v>
      </c>
      <c r="P44" s="6">
        <v>3.0616320129426941E-3</v>
      </c>
      <c r="Q44" s="6">
        <v>103.33909165032307</v>
      </c>
      <c r="R44" s="6">
        <v>382.21164757939584</v>
      </c>
      <c r="S44" s="6">
        <v>103.33909165032307</v>
      </c>
      <c r="T44" s="6">
        <v>382.21164757939584</v>
      </c>
      <c r="X44" t="s">
        <v>28</v>
      </c>
      <c r="Y44">
        <f>_xlfn.T.INV.2T(0.05,W35)</f>
        <v>2.2009851600916384</v>
      </c>
      <c r="AH44" t="s">
        <v>28</v>
      </c>
      <c r="AI44">
        <f>_xlfn.T.INV.2T(0.05,AG36)</f>
        <v>2.1788128296672284</v>
      </c>
    </row>
    <row r="45" spans="2:40" ht="17" thickBot="1" x14ac:dyDescent="0.25">
      <c r="B45" s="6" t="s">
        <v>32</v>
      </c>
      <c r="C45" s="6">
        <v>260.31254826076821</v>
      </c>
      <c r="D45" s="6">
        <v>76.445385210954839</v>
      </c>
      <c r="E45" s="6">
        <v>3.4052094517206344</v>
      </c>
      <c r="F45" s="6">
        <v>7.8086258840207156E-3</v>
      </c>
      <c r="G45" s="6">
        <v>87.381072542938725</v>
      </c>
      <c r="H45" s="6">
        <v>433.24402397859768</v>
      </c>
      <c r="I45" s="6">
        <v>87.381072542938725</v>
      </c>
      <c r="J45" s="6">
        <v>433.24402397859768</v>
      </c>
      <c r="N45" t="s">
        <v>28</v>
      </c>
      <c r="O45">
        <f>_xlfn.T.INV.2T(0.05,M35)</f>
        <v>2.2281388519862744</v>
      </c>
    </row>
    <row r="46" spans="2:40" x14ac:dyDescent="0.2">
      <c r="D46" t="s">
        <v>28</v>
      </c>
      <c r="E46">
        <f>_xlfn.T.INV.2T(0.05,C35)</f>
        <v>2.2621571627982053</v>
      </c>
    </row>
    <row r="48" spans="2:40" x14ac:dyDescent="0.2">
      <c r="X48">
        <f>ABS(Y42)</f>
        <v>1.2508315353445143</v>
      </c>
      <c r="Y48" s="204" t="s">
        <v>237</v>
      </c>
      <c r="Z48">
        <f>Y44</f>
        <v>2.2009851600916384</v>
      </c>
      <c r="AH48" t="s">
        <v>239</v>
      </c>
      <c r="AI48" s="204"/>
    </row>
    <row r="49" spans="4:34" x14ac:dyDescent="0.2">
      <c r="D49">
        <f>ABS(E43)</f>
        <v>0.44058116620559012</v>
      </c>
      <c r="E49" s="204" t="s">
        <v>237</v>
      </c>
      <c r="F49">
        <f>E46</f>
        <v>2.2621571627982053</v>
      </c>
      <c r="N49">
        <f>ABS(O41)</f>
        <v>1.3482798703877141</v>
      </c>
      <c r="O49" s="204" t="s">
        <v>237</v>
      </c>
      <c r="P49">
        <f>O45</f>
        <v>2.2281388519862744</v>
      </c>
      <c r="X49" t="s">
        <v>238</v>
      </c>
      <c r="AH49" t="s">
        <v>240</v>
      </c>
    </row>
    <row r="50" spans="4:34" x14ac:dyDescent="0.2">
      <c r="D50" t="s">
        <v>243</v>
      </c>
      <c r="N50" t="s">
        <v>238</v>
      </c>
      <c r="AH50" t="s">
        <v>241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Z95"/>
  <sheetViews>
    <sheetView topLeftCell="A6" workbookViewId="0">
      <selection activeCell="F48" sqref="F48"/>
    </sheetView>
  </sheetViews>
  <sheetFormatPr baseColWidth="10" defaultColWidth="10.83203125" defaultRowHeight="16" x14ac:dyDescent="0.2"/>
  <cols>
    <col min="1" max="1" width="10.83203125" style="1"/>
    <col min="2" max="2" width="12" style="1" customWidth="1"/>
    <col min="3" max="6" width="10.83203125" style="1"/>
    <col min="7" max="7" width="11.6640625" style="1" bestFit="1" customWidth="1"/>
    <col min="8" max="8" width="17.5" style="1" customWidth="1"/>
    <col min="9" max="9" width="10.83203125" style="1"/>
    <col min="10" max="10" width="11.83203125" style="1" customWidth="1"/>
    <col min="11" max="11" width="17.5" style="1" customWidth="1"/>
    <col min="12" max="16384" width="10.83203125" style="1"/>
  </cols>
  <sheetData>
    <row r="3" spans="2:19" ht="17" thickBot="1" x14ac:dyDescent="0.25"/>
    <row r="4" spans="2:19" ht="87" thickBot="1" x14ac:dyDescent="0.3">
      <c r="B4" s="39" t="s">
        <v>0</v>
      </c>
      <c r="C4" s="31" t="s">
        <v>1</v>
      </c>
      <c r="D4" s="32" t="s">
        <v>29</v>
      </c>
      <c r="E4" s="32" t="s">
        <v>154</v>
      </c>
      <c r="F4" s="32" t="s">
        <v>32</v>
      </c>
      <c r="G4" s="62" t="s">
        <v>42</v>
      </c>
      <c r="H4" s="63" t="s">
        <v>43</v>
      </c>
    </row>
    <row r="5" spans="2:19" ht="17" x14ac:dyDescent="0.2">
      <c r="B5" s="40">
        <v>2008</v>
      </c>
      <c r="C5" s="41">
        <v>13069</v>
      </c>
      <c r="D5" s="42">
        <v>3158.48</v>
      </c>
      <c r="E5" s="42">
        <v>104.2</v>
      </c>
      <c r="F5" s="59">
        <v>37.590000000000003</v>
      </c>
      <c r="G5" s="60">
        <f>K32^2</f>
        <v>186657961.94739807</v>
      </c>
      <c r="H5" s="61">
        <f>K32^3</f>
        <v>2550173799059.0283</v>
      </c>
      <c r="J5" s="1" t="s">
        <v>44</v>
      </c>
    </row>
    <row r="6" spans="2:19" ht="51" x14ac:dyDescent="0.2">
      <c r="B6" s="43">
        <v>2009</v>
      </c>
      <c r="C6" s="44">
        <v>13305</v>
      </c>
      <c r="D6" s="45">
        <v>3315.38</v>
      </c>
      <c r="E6" s="45">
        <v>103.5</v>
      </c>
      <c r="F6" s="53">
        <v>35.75</v>
      </c>
      <c r="G6" s="52">
        <f t="shared" ref="G6:G20" si="0">K33^2</f>
        <v>194717200.47205558</v>
      </c>
      <c r="H6" s="55">
        <f t="shared" ref="H6:H20" si="1">K33^3</f>
        <v>2717105336004.2729</v>
      </c>
      <c r="J6" s="1" t="s">
        <v>4</v>
      </c>
      <c r="R6" s="1" t="s">
        <v>242</v>
      </c>
      <c r="S6" t="s">
        <v>45</v>
      </c>
    </row>
    <row r="7" spans="2:19" ht="17" thickBot="1" x14ac:dyDescent="0.25">
      <c r="B7" s="43">
        <v>2010</v>
      </c>
      <c r="C7" s="44">
        <v>14408</v>
      </c>
      <c r="D7" s="45">
        <v>3435</v>
      </c>
      <c r="E7" s="45">
        <v>102.6</v>
      </c>
      <c r="F7" s="53">
        <v>34.270000000000003</v>
      </c>
      <c r="G7" s="52">
        <f t="shared" si="0"/>
        <v>204684317.82331774</v>
      </c>
      <c r="H7" s="55">
        <f t="shared" si="1"/>
        <v>2928376107347.8857</v>
      </c>
    </row>
    <row r="8" spans="2:19" ht="51" x14ac:dyDescent="0.2">
      <c r="B8" s="43">
        <v>2011</v>
      </c>
      <c r="C8" s="44">
        <v>13886</v>
      </c>
      <c r="D8" s="45">
        <v>3625.21</v>
      </c>
      <c r="E8" s="45">
        <v>104.3</v>
      </c>
      <c r="F8" s="54">
        <v>34.5</v>
      </c>
      <c r="G8" s="52">
        <f t="shared" si="0"/>
        <v>200489654.89814147</v>
      </c>
      <c r="H8" s="55">
        <f t="shared" si="1"/>
        <v>2838820628769.8311</v>
      </c>
      <c r="J8" s="46" t="s">
        <v>5</v>
      </c>
      <c r="K8" s="46"/>
      <c r="R8" s="1" t="s">
        <v>46</v>
      </c>
      <c r="S8" t="s">
        <v>47</v>
      </c>
    </row>
    <row r="9" spans="2:19" ht="34" x14ac:dyDescent="0.2">
      <c r="B9" s="43">
        <v>2012</v>
      </c>
      <c r="C9" s="44">
        <v>15137</v>
      </c>
      <c r="D9" s="45">
        <v>3744.38</v>
      </c>
      <c r="E9" s="45">
        <v>103.7</v>
      </c>
      <c r="F9" s="54">
        <v>33.6</v>
      </c>
      <c r="G9" s="52">
        <f t="shared" si="0"/>
        <v>210629059.47323528</v>
      </c>
      <c r="H9" s="55">
        <f t="shared" si="1"/>
        <v>3056873258446.4409</v>
      </c>
      <c r="J9" s="1" t="s">
        <v>6</v>
      </c>
      <c r="K9" s="1">
        <v>0.96297973578096596</v>
      </c>
    </row>
    <row r="10" spans="2:19" ht="17" x14ac:dyDescent="0.2">
      <c r="B10" s="43">
        <v>2013</v>
      </c>
      <c r="C10" s="44">
        <v>15807</v>
      </c>
      <c r="D10" s="45">
        <v>3877.43</v>
      </c>
      <c r="E10" s="45">
        <v>100.9</v>
      </c>
      <c r="F10" s="54">
        <v>33.799999999999997</v>
      </c>
      <c r="G10" s="52">
        <f t="shared" si="0"/>
        <v>256410167.36004201</v>
      </c>
      <c r="H10" s="55">
        <f t="shared" si="1"/>
        <v>4105847958649.5581</v>
      </c>
      <c r="J10" s="1" t="s">
        <v>7</v>
      </c>
      <c r="K10" s="1">
        <v>0.92732997152477903</v>
      </c>
    </row>
    <row r="11" spans="2:19" ht="34" x14ac:dyDescent="0.2">
      <c r="B11" s="43">
        <v>2014</v>
      </c>
      <c r="C11" s="44">
        <v>17325</v>
      </c>
      <c r="D11" s="45">
        <v>4003.99</v>
      </c>
      <c r="E11" s="45">
        <v>100</v>
      </c>
      <c r="F11" s="54">
        <v>34.799999999999997</v>
      </c>
      <c r="G11" s="52">
        <f t="shared" si="0"/>
        <v>285773899.90873784</v>
      </c>
      <c r="H11" s="55">
        <f t="shared" si="1"/>
        <v>4830964458705.9873</v>
      </c>
      <c r="J11" s="1" t="s">
        <v>8</v>
      </c>
      <c r="K11" s="1">
        <v>0.90916246440597381</v>
      </c>
    </row>
    <row r="12" spans="2:19" ht="34" x14ac:dyDescent="0.2">
      <c r="B12" s="43">
        <v>2015</v>
      </c>
      <c r="C12" s="44">
        <v>18611</v>
      </c>
      <c r="D12" s="45">
        <v>4150.8599999999997</v>
      </c>
      <c r="E12" s="45">
        <v>99.1</v>
      </c>
      <c r="F12" s="54">
        <v>36.700000000000003</v>
      </c>
      <c r="G12" s="52">
        <f t="shared" si="0"/>
        <v>325364784.46846718</v>
      </c>
      <c r="H12" s="55">
        <f t="shared" si="1"/>
        <v>5868887958378.6816</v>
      </c>
      <c r="J12" s="1" t="s">
        <v>9</v>
      </c>
      <c r="K12" s="1">
        <v>834.41062437517689</v>
      </c>
    </row>
    <row r="13" spans="2:19" ht="18" thickBot="1" x14ac:dyDescent="0.25">
      <c r="B13" s="43">
        <v>2016</v>
      </c>
      <c r="C13" s="44">
        <v>19623</v>
      </c>
      <c r="D13" s="45">
        <v>4290.5200000000004</v>
      </c>
      <c r="E13" s="45">
        <v>99.4</v>
      </c>
      <c r="F13" s="54">
        <v>38.1</v>
      </c>
      <c r="G13" s="52">
        <f t="shared" si="0"/>
        <v>344759172.26559252</v>
      </c>
      <c r="H13" s="55">
        <f t="shared" si="1"/>
        <v>6401381995373.8506</v>
      </c>
      <c r="J13" s="47" t="s">
        <v>10</v>
      </c>
      <c r="K13" s="47">
        <v>16</v>
      </c>
    </row>
    <row r="14" spans="2:19" x14ac:dyDescent="0.2">
      <c r="B14" s="43">
        <v>2017</v>
      </c>
      <c r="C14" s="44">
        <v>19125</v>
      </c>
      <c r="D14" s="45">
        <v>4527.8900000000003</v>
      </c>
      <c r="E14" s="45">
        <v>102</v>
      </c>
      <c r="F14" s="54">
        <v>39.299999999999997</v>
      </c>
      <c r="G14" s="52">
        <f t="shared" si="0"/>
        <v>337992838.49865639</v>
      </c>
      <c r="H14" s="55">
        <f t="shared" si="1"/>
        <v>6213856900213.124</v>
      </c>
    </row>
    <row r="15" spans="2:19" ht="35" thickBot="1" x14ac:dyDescent="0.25">
      <c r="B15" s="43">
        <v>2018</v>
      </c>
      <c r="C15" s="44">
        <v>17700</v>
      </c>
      <c r="D15" s="45">
        <v>4834.76</v>
      </c>
      <c r="E15" s="45">
        <v>101.6</v>
      </c>
      <c r="F15" s="54">
        <v>40.1</v>
      </c>
      <c r="G15" s="52">
        <f t="shared" si="0"/>
        <v>379988943.03754699</v>
      </c>
      <c r="H15" s="55">
        <f t="shared" si="1"/>
        <v>7407240394589.3584</v>
      </c>
      <c r="J15" s="1" t="s">
        <v>11</v>
      </c>
    </row>
    <row r="16" spans="2:19" ht="17" x14ac:dyDescent="0.2">
      <c r="B16" s="43">
        <v>2019</v>
      </c>
      <c r="C16" s="44">
        <v>20260</v>
      </c>
      <c r="D16" s="45">
        <v>5181.63</v>
      </c>
      <c r="E16" s="45">
        <v>102.3</v>
      </c>
      <c r="F16" s="54">
        <v>40.6</v>
      </c>
      <c r="G16" s="52">
        <f t="shared" si="0"/>
        <v>408078545.27191824</v>
      </c>
      <c r="H16" s="55">
        <f t="shared" si="1"/>
        <v>8243575949320.458</v>
      </c>
      <c r="J16" s="38"/>
      <c r="K16" s="38" t="s">
        <v>12</v>
      </c>
      <c r="L16" s="38" t="s">
        <v>13</v>
      </c>
      <c r="M16" s="38" t="s">
        <v>14</v>
      </c>
      <c r="N16" s="38" t="s">
        <v>15</v>
      </c>
      <c r="O16" s="38" t="s">
        <v>16</v>
      </c>
    </row>
    <row r="17" spans="1:26" ht="17" x14ac:dyDescent="0.2">
      <c r="B17" s="43">
        <v>2020</v>
      </c>
      <c r="C17" s="44">
        <v>17778</v>
      </c>
      <c r="D17" s="45">
        <v>5523.32</v>
      </c>
      <c r="E17" s="45">
        <v>103.4</v>
      </c>
      <c r="F17" s="54">
        <v>26.8</v>
      </c>
      <c r="G17" s="52">
        <f t="shared" si="0"/>
        <v>314258453.19435519</v>
      </c>
      <c r="H17" s="55">
        <f t="shared" si="1"/>
        <v>5570965292880.8184</v>
      </c>
      <c r="J17" s="1" t="s">
        <v>17</v>
      </c>
      <c r="K17" s="1">
        <v>3</v>
      </c>
      <c r="L17" s="1">
        <v>106615380.85665792</v>
      </c>
      <c r="M17" s="1">
        <v>35538460.285552643</v>
      </c>
      <c r="N17" s="1">
        <v>51.043325067141332</v>
      </c>
      <c r="O17" s="1">
        <v>4.1823174729643182E-7</v>
      </c>
    </row>
    <row r="18" spans="1:26" ht="17" x14ac:dyDescent="0.2">
      <c r="B18" s="43">
        <v>2021</v>
      </c>
      <c r="C18" s="44">
        <v>18789</v>
      </c>
      <c r="D18" s="45">
        <v>6001.02</v>
      </c>
      <c r="E18" s="45">
        <v>105.1</v>
      </c>
      <c r="F18" s="54">
        <v>32.299999999999997</v>
      </c>
      <c r="G18" s="52">
        <f t="shared" si="0"/>
        <v>377130230.03990835</v>
      </c>
      <c r="H18" s="55">
        <f t="shared" si="1"/>
        <v>7323809157797.6328</v>
      </c>
      <c r="I18" s="65" t="s">
        <v>48</v>
      </c>
      <c r="J18" s="1" t="s">
        <v>18</v>
      </c>
      <c r="K18" s="1">
        <v>12</v>
      </c>
      <c r="L18" s="51">
        <v>8354893.0808420712</v>
      </c>
      <c r="M18" s="1">
        <v>696241.09007017256</v>
      </c>
    </row>
    <row r="19" spans="1:26" ht="18" thickBot="1" x14ac:dyDescent="0.25">
      <c r="B19" s="43">
        <v>2022</v>
      </c>
      <c r="C19" s="44">
        <v>20215</v>
      </c>
      <c r="D19" s="45">
        <v>6705.62</v>
      </c>
      <c r="E19" s="45">
        <v>114.4</v>
      </c>
      <c r="F19" s="54">
        <v>40.4</v>
      </c>
      <c r="G19" s="52">
        <f t="shared" si="0"/>
        <v>368580223.94923967</v>
      </c>
      <c r="H19" s="55">
        <f t="shared" si="1"/>
        <v>7076166519528.5879</v>
      </c>
      <c r="J19" s="47" t="s">
        <v>19</v>
      </c>
      <c r="K19" s="47">
        <v>15</v>
      </c>
      <c r="L19" s="47">
        <v>114970273.9375</v>
      </c>
      <c r="M19" s="47"/>
      <c r="N19" s="47"/>
      <c r="O19" s="47"/>
    </row>
    <row r="20" spans="1:26" ht="17" thickBot="1" x14ac:dyDescent="0.25">
      <c r="B20" s="48">
        <v>2023</v>
      </c>
      <c r="C20" s="49">
        <v>22187</v>
      </c>
      <c r="D20" s="50">
        <v>7595.3</v>
      </c>
      <c r="E20" s="50">
        <v>111.4</v>
      </c>
      <c r="F20" s="56">
        <v>40.5</v>
      </c>
      <c r="G20" s="57">
        <f t="shared" si="0"/>
        <v>514456217.31054568</v>
      </c>
      <c r="H20" s="58">
        <f t="shared" si="1"/>
        <v>11668704186998.432</v>
      </c>
    </row>
    <row r="21" spans="1:26" x14ac:dyDescent="0.2">
      <c r="A21"/>
      <c r="B21"/>
      <c r="C21"/>
      <c r="D21"/>
      <c r="E21"/>
      <c r="F21"/>
      <c r="G21"/>
      <c r="H21"/>
      <c r="I21"/>
      <c r="J21" s="7"/>
      <c r="K21" s="7" t="s">
        <v>20</v>
      </c>
      <c r="L21" s="7" t="s">
        <v>9</v>
      </c>
      <c r="M21" s="7" t="s">
        <v>21</v>
      </c>
      <c r="N21" s="7" t="s">
        <v>22</v>
      </c>
      <c r="O21" s="7" t="s">
        <v>23</v>
      </c>
      <c r="P21" s="7" t="s">
        <v>24</v>
      </c>
      <c r="Q21" s="7" t="s">
        <v>25</v>
      </c>
      <c r="R21" s="7" t="s">
        <v>26</v>
      </c>
      <c r="S21"/>
      <c r="T21"/>
      <c r="U21"/>
      <c r="V21"/>
      <c r="W21"/>
      <c r="X21"/>
      <c r="Y21"/>
      <c r="Z21"/>
    </row>
    <row r="22" spans="1:26" x14ac:dyDescent="0.2">
      <c r="A22"/>
      <c r="B22"/>
      <c r="C22"/>
      <c r="D22"/>
      <c r="E22"/>
      <c r="F22"/>
      <c r="G22"/>
      <c r="H22"/>
      <c r="I22"/>
      <c r="J22" t="s">
        <v>27</v>
      </c>
      <c r="K22">
        <v>39373.261743251824</v>
      </c>
      <c r="L22">
        <v>6984.2757063156996</v>
      </c>
      <c r="M22">
        <v>5.6374151592623418</v>
      </c>
      <c r="N22">
        <v>1.0944013342118546E-4</v>
      </c>
      <c r="O22">
        <v>24155.832228398034</v>
      </c>
      <c r="P22">
        <v>54590.691258105617</v>
      </c>
      <c r="Q22">
        <v>24155.832228398034</v>
      </c>
      <c r="R22">
        <v>54590.691258105617</v>
      </c>
      <c r="S22"/>
      <c r="T22"/>
      <c r="U22"/>
      <c r="V22"/>
      <c r="W22"/>
      <c r="X22"/>
      <c r="Y22"/>
      <c r="Z22"/>
    </row>
    <row r="23" spans="1:26" x14ac:dyDescent="0.2">
      <c r="A23"/>
      <c r="B23" t="s">
        <v>49</v>
      </c>
      <c r="C23" s="37">
        <f>((L18-L64)/2)/(L64/(H23-(H24+2)))</f>
        <v>2.875157275565269</v>
      </c>
      <c r="D23"/>
      <c r="E23"/>
      <c r="F23"/>
      <c r="G23" t="s">
        <v>50</v>
      </c>
      <c r="H23">
        <v>16</v>
      </c>
      <c r="I23"/>
      <c r="J23" t="s">
        <v>29</v>
      </c>
      <c r="K23">
        <v>2.5435498133689332</v>
      </c>
      <c r="L23">
        <v>0.23409778224668468</v>
      </c>
      <c r="M23">
        <v>10.865330670619606</v>
      </c>
      <c r="N23">
        <v>1.4505890490845721E-7</v>
      </c>
      <c r="O23">
        <v>2.0334945620132117</v>
      </c>
      <c r="P23">
        <v>3.0536050647246546</v>
      </c>
      <c r="Q23">
        <v>2.0334945620132117</v>
      </c>
      <c r="R23">
        <v>3.0536050647246546</v>
      </c>
      <c r="S23"/>
      <c r="T23"/>
      <c r="U23"/>
      <c r="V23"/>
      <c r="W23"/>
      <c r="X23"/>
      <c r="Y23"/>
      <c r="Z23"/>
    </row>
    <row r="24" spans="1:26" x14ac:dyDescent="0.2">
      <c r="A24"/>
      <c r="B24" t="s">
        <v>51</v>
      </c>
      <c r="C24" s="37">
        <f>_xlfn.F.INV.RT(0.05,2,10)</f>
        <v>4.1028210151304032</v>
      </c>
      <c r="D24"/>
      <c r="E24"/>
      <c r="F24"/>
      <c r="G24" t="s">
        <v>52</v>
      </c>
      <c r="H24">
        <v>4</v>
      </c>
      <c r="I24"/>
      <c r="J24" t="s">
        <v>2</v>
      </c>
      <c r="K24">
        <v>-399.73409811594229</v>
      </c>
      <c r="L24">
        <v>74.010587853682225</v>
      </c>
      <c r="M24">
        <v>-5.4010393608305121</v>
      </c>
      <c r="N24">
        <v>1.5981429098645857E-4</v>
      </c>
      <c r="O24">
        <v>-560.98931646275867</v>
      </c>
      <c r="P24">
        <v>-238.47887976912591</v>
      </c>
      <c r="Q24">
        <v>-560.98931646275867</v>
      </c>
      <c r="R24">
        <v>-238.47887976912591</v>
      </c>
      <c r="S24"/>
      <c r="T24"/>
      <c r="U24"/>
      <c r="V24"/>
      <c r="W24"/>
      <c r="X24"/>
      <c r="Y24"/>
      <c r="Z24"/>
    </row>
    <row r="25" spans="1:26" ht="17" thickBot="1" x14ac:dyDescent="0.25">
      <c r="A25"/>
      <c r="B25" t="s">
        <v>159</v>
      </c>
      <c r="C25" s="37">
        <f>_xlfn.F.DIST.RT(C23,2,10)</f>
        <v>0.10317009780285945</v>
      </c>
      <c r="D25"/>
      <c r="E25"/>
      <c r="F25"/>
      <c r="G25"/>
      <c r="H25"/>
      <c r="I25"/>
      <c r="J25" s="6" t="s">
        <v>32</v>
      </c>
      <c r="K25" s="6">
        <v>210.36346164828618</v>
      </c>
      <c r="L25" s="6">
        <v>59.699402963317617</v>
      </c>
      <c r="M25" s="6">
        <v>3.523711313788922</v>
      </c>
      <c r="N25" s="6">
        <v>4.1946782497467028E-3</v>
      </c>
      <c r="O25" s="6">
        <v>80.289636548335992</v>
      </c>
      <c r="P25" s="6">
        <v>340.43728674823637</v>
      </c>
      <c r="Q25" s="6">
        <v>80.289636548335992</v>
      </c>
      <c r="R25" s="6">
        <v>340.43728674823637</v>
      </c>
      <c r="S25"/>
      <c r="T25"/>
      <c r="U25"/>
      <c r="V25"/>
      <c r="W25"/>
      <c r="X25"/>
      <c r="Y25"/>
      <c r="Z25"/>
    </row>
    <row r="26" spans="1:26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">
      <c r="A27"/>
      <c r="B27" s="27" t="s">
        <v>53</v>
      </c>
      <c r="C27" s="27"/>
      <c r="D27" s="27" t="s">
        <v>54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">
      <c r="A29"/>
      <c r="B29" s="27" t="s">
        <v>55</v>
      </c>
      <c r="C29" s="27"/>
      <c r="D29" s="27"/>
      <c r="E29" s="27"/>
      <c r="F29" s="27"/>
      <c r="G29"/>
      <c r="H29"/>
      <c r="I29"/>
      <c r="J29" t="s">
        <v>56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ht="17" thickBot="1" x14ac:dyDescent="0.25">
      <c r="A30"/>
      <c r="B30" s="27" t="s">
        <v>57</v>
      </c>
      <c r="C30" s="27"/>
      <c r="D30" s="27"/>
      <c r="E30" s="27"/>
      <c r="F30" s="27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">
      <c r="A31"/>
      <c r="B31"/>
      <c r="C31"/>
      <c r="D31"/>
      <c r="E31"/>
      <c r="F31"/>
      <c r="G31"/>
      <c r="H31"/>
      <c r="I31"/>
      <c r="J31" s="7" t="s">
        <v>58</v>
      </c>
      <c r="K31" s="66" t="s">
        <v>59</v>
      </c>
      <c r="L31" s="7" t="s">
        <v>60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">
      <c r="A32"/>
      <c r="B32"/>
      <c r="C32"/>
      <c r="D32"/>
      <c r="E32"/>
      <c r="F32"/>
      <c r="G32"/>
      <c r="H32"/>
      <c r="I32"/>
      <c r="J32">
        <v>1</v>
      </c>
      <c r="K32" s="64">
        <v>13662.282457459225</v>
      </c>
      <c r="L32">
        <v>-593.28245745922504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x14ac:dyDescent="0.2">
      <c r="A33"/>
      <c r="B33"/>
      <c r="C33"/>
      <c r="D33"/>
      <c r="E33"/>
      <c r="F33"/>
      <c r="G33"/>
      <c r="H33"/>
      <c r="I33"/>
      <c r="J33">
        <v>2</v>
      </c>
      <c r="K33" s="64">
        <v>13954.110522425124</v>
      </c>
      <c r="L33">
        <v>-649.11052242512415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x14ac:dyDescent="0.2">
      <c r="A34"/>
      <c r="B34"/>
      <c r="C34"/>
      <c r="D34"/>
      <c r="E34"/>
      <c r="F34"/>
      <c r="G34"/>
      <c r="H34"/>
      <c r="I34"/>
      <c r="J34">
        <v>3</v>
      </c>
      <c r="K34" s="64">
        <v>14306.792716165204</v>
      </c>
      <c r="L34">
        <v>101.20728383479582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x14ac:dyDescent="0.2">
      <c r="A35"/>
      <c r="B35"/>
      <c r="C35"/>
      <c r="D35"/>
      <c r="E35"/>
      <c r="F35"/>
      <c r="G35"/>
      <c r="H35"/>
      <c r="I35"/>
      <c r="J35">
        <v>4</v>
      </c>
      <c r="K35" s="64">
        <v>14159.436955548108</v>
      </c>
      <c r="L35">
        <v>-273.43695554810802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2">
      <c r="A36"/>
      <c r="B36"/>
      <c r="C36"/>
      <c r="D36"/>
      <c r="E36"/>
      <c r="F36"/>
      <c r="G36"/>
      <c r="H36"/>
      <c r="I36"/>
      <c r="J36">
        <v>5</v>
      </c>
      <c r="K36" s="64">
        <v>14513.06513019339</v>
      </c>
      <c r="L36">
        <v>623.93486980660964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x14ac:dyDescent="0.2">
      <c r="A37"/>
      <c r="B37"/>
      <c r="C37"/>
      <c r="D37"/>
      <c r="E37"/>
      <c r="F37"/>
      <c r="G37"/>
      <c r="H37"/>
      <c r="I37"/>
      <c r="J37">
        <v>6</v>
      </c>
      <c r="K37" s="64">
        <v>16012.812599916419</v>
      </c>
      <c r="L37">
        <v>-205.81259991641855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x14ac:dyDescent="0.2">
      <c r="A38"/>
      <c r="B38"/>
      <c r="C38"/>
      <c r="D38"/>
      <c r="E38"/>
      <c r="F38"/>
      <c r="G38"/>
      <c r="H38"/>
      <c r="I38"/>
      <c r="J38">
        <v>7</v>
      </c>
      <c r="K38" s="64">
        <v>16904.848414249027</v>
      </c>
      <c r="L38">
        <v>420.15158575097303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x14ac:dyDescent="0.2">
      <c r="A39"/>
      <c r="B39"/>
      <c r="C39"/>
      <c r="D39"/>
      <c r="E39"/>
      <c r="F39"/>
      <c r="G39"/>
      <c r="H39"/>
      <c r="I39"/>
      <c r="J39">
        <v>8</v>
      </c>
      <c r="K39" s="64">
        <v>18037.870840774616</v>
      </c>
      <c r="L39">
        <v>573.12915922538377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x14ac:dyDescent="0.2">
      <c r="A40"/>
      <c r="B40"/>
      <c r="C40"/>
      <c r="D40"/>
      <c r="E40"/>
      <c r="F40"/>
      <c r="G40"/>
      <c r="H40"/>
      <c r="I40"/>
      <c r="J40">
        <v>9</v>
      </c>
      <c r="K40" s="64">
        <v>18567.691624582538</v>
      </c>
      <c r="L40">
        <v>1055.3083754174622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x14ac:dyDescent="0.2">
      <c r="A41"/>
      <c r="B41"/>
      <c r="C41"/>
      <c r="D41"/>
      <c r="E41"/>
      <c r="F41"/>
      <c r="G41"/>
      <c r="H41"/>
      <c r="I41"/>
      <c r="J41">
        <v>10</v>
      </c>
      <c r="K41" s="64">
        <v>18384.581542658412</v>
      </c>
      <c r="L41">
        <v>740.41845734158778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x14ac:dyDescent="0.2">
      <c r="A42"/>
      <c r="B42"/>
      <c r="C42"/>
      <c r="D42"/>
      <c r="E42"/>
      <c r="F42"/>
      <c r="G42"/>
      <c r="H42"/>
      <c r="I42"/>
      <c r="J42">
        <v>11</v>
      </c>
      <c r="K42" s="64">
        <v>19493.305082451949</v>
      </c>
      <c r="L42">
        <v>-1793.3050824519487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x14ac:dyDescent="0.2">
      <c r="A43"/>
      <c r="B43"/>
      <c r="C43"/>
      <c r="D43"/>
      <c r="E43"/>
      <c r="F43"/>
      <c r="G43"/>
      <c r="H43"/>
      <c r="I43"/>
      <c r="J43">
        <v>12</v>
      </c>
      <c r="K43" s="64">
        <v>20200.954068358213</v>
      </c>
      <c r="L43">
        <v>59.04593164178732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x14ac:dyDescent="0.2">
      <c r="A44"/>
      <c r="B44"/>
      <c r="C44"/>
      <c r="D44"/>
      <c r="E44"/>
      <c r="F44"/>
      <c r="G44"/>
      <c r="H44"/>
      <c r="I44"/>
      <c r="J44">
        <v>13</v>
      </c>
      <c r="K44" s="64">
        <v>17727.336325414351</v>
      </c>
      <c r="L44">
        <v>50.66367458564855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x14ac:dyDescent="0.2">
      <c r="A45"/>
      <c r="B45"/>
      <c r="C45"/>
      <c r="D45"/>
      <c r="E45"/>
      <c r="F45"/>
      <c r="G45"/>
      <c r="H45"/>
      <c r="I45"/>
      <c r="J45">
        <v>14</v>
      </c>
      <c r="K45" s="64">
        <v>19419.841143529171</v>
      </c>
      <c r="L45">
        <v>-630.84114352917095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x14ac:dyDescent="0.2">
      <c r="A46"/>
      <c r="B46"/>
      <c r="C46"/>
      <c r="D46"/>
      <c r="E46"/>
      <c r="F46"/>
      <c r="G46"/>
      <c r="H46"/>
      <c r="I46"/>
      <c r="J46">
        <v>15</v>
      </c>
      <c r="K46" s="64">
        <v>19198.44326890177</v>
      </c>
      <c r="L46">
        <v>1016.5567310982296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ht="17" thickBot="1" x14ac:dyDescent="0.25">
      <c r="A47"/>
      <c r="B47"/>
      <c r="C47"/>
      <c r="D47"/>
      <c r="E47"/>
      <c r="F47"/>
      <c r="G47"/>
      <c r="H47"/>
      <c r="I47"/>
      <c r="J47" s="6">
        <v>16</v>
      </c>
      <c r="K47" s="67">
        <v>22681.627307372495</v>
      </c>
      <c r="L47" s="6">
        <v>-494.62730737249512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x14ac:dyDescent="0.2">
      <c r="A51"/>
      <c r="B51"/>
      <c r="C51"/>
      <c r="D51"/>
      <c r="E51"/>
      <c r="F51"/>
      <c r="G51"/>
      <c r="H51"/>
      <c r="I51"/>
      <c r="J51" t="s">
        <v>61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x14ac:dyDescent="0.2">
      <c r="A52"/>
      <c r="B52"/>
      <c r="C52"/>
      <c r="D52"/>
      <c r="E52"/>
      <c r="F52"/>
      <c r="G52"/>
      <c r="H52"/>
      <c r="I52"/>
      <c r="J52" t="s">
        <v>4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ht="17" thickBot="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x14ac:dyDescent="0.2">
      <c r="A54"/>
      <c r="B54"/>
      <c r="C54"/>
      <c r="D54"/>
      <c r="E54"/>
      <c r="F54"/>
      <c r="G54"/>
      <c r="H54"/>
      <c r="I54"/>
      <c r="J54" s="8" t="s">
        <v>5</v>
      </c>
      <c r="K54" s="8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x14ac:dyDescent="0.2">
      <c r="A55"/>
      <c r="B55"/>
      <c r="C55"/>
      <c r="D55"/>
      <c r="E55"/>
      <c r="F55"/>
      <c r="G55"/>
      <c r="H55"/>
      <c r="I55"/>
      <c r="J55" t="s">
        <v>6</v>
      </c>
      <c r="K55">
        <v>0.97665819038262114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x14ac:dyDescent="0.2">
      <c r="A56"/>
      <c r="B56"/>
      <c r="C56"/>
      <c r="D56"/>
      <c r="E56"/>
      <c r="F56"/>
      <c r="G56"/>
      <c r="H56"/>
      <c r="I56"/>
      <c r="J56" t="s">
        <v>7</v>
      </c>
      <c r="K56">
        <v>0.9538612208414563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x14ac:dyDescent="0.2">
      <c r="A57"/>
      <c r="B57"/>
      <c r="C57"/>
      <c r="D57"/>
      <c r="E57"/>
      <c r="F57"/>
      <c r="G57"/>
      <c r="H57"/>
      <c r="I57"/>
      <c r="J57" t="s">
        <v>8</v>
      </c>
      <c r="K57">
        <v>0.93079183126218434</v>
      </c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x14ac:dyDescent="0.2">
      <c r="A58"/>
      <c r="B58"/>
      <c r="C58"/>
      <c r="D58"/>
      <c r="E58"/>
      <c r="F58"/>
      <c r="G58"/>
      <c r="H58"/>
      <c r="I58"/>
      <c r="J58" t="s">
        <v>9</v>
      </c>
      <c r="K58">
        <v>728.32603132110978</v>
      </c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ht="17" thickBot="1" x14ac:dyDescent="0.25">
      <c r="A59"/>
      <c r="B59"/>
      <c r="C59"/>
      <c r="D59"/>
      <c r="E59"/>
      <c r="F59"/>
      <c r="G59"/>
      <c r="H59"/>
      <c r="I59"/>
      <c r="J59" s="6" t="s">
        <v>10</v>
      </c>
      <c r="K59" s="6">
        <v>16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ht="17" thickBot="1" x14ac:dyDescent="0.25">
      <c r="A61"/>
      <c r="B61"/>
      <c r="C61"/>
      <c r="D61"/>
      <c r="E61"/>
      <c r="F61"/>
      <c r="G61"/>
      <c r="H61"/>
      <c r="I61"/>
      <c r="J61" t="s">
        <v>11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x14ac:dyDescent="0.2">
      <c r="A62"/>
      <c r="B62"/>
      <c r="C62"/>
      <c r="D62"/>
      <c r="E62"/>
      <c r="F62"/>
      <c r="G62"/>
      <c r="H62"/>
      <c r="I62"/>
      <c r="J62" s="7"/>
      <c r="K62" s="7" t="s">
        <v>12</v>
      </c>
      <c r="L62" s="7" t="s">
        <v>13</v>
      </c>
      <c r="M62" s="7" t="s">
        <v>14</v>
      </c>
      <c r="N62" s="7" t="s">
        <v>15</v>
      </c>
      <c r="O62" s="7" t="s">
        <v>16</v>
      </c>
      <c r="P62"/>
      <c r="Q62"/>
      <c r="R62"/>
      <c r="S62"/>
      <c r="T62"/>
      <c r="U62"/>
      <c r="V62"/>
      <c r="W62"/>
      <c r="X62"/>
      <c r="Y62"/>
      <c r="Z62"/>
    </row>
    <row r="63" spans="1:26" x14ac:dyDescent="0.2">
      <c r="A63"/>
      <c r="B63"/>
      <c r="C63"/>
      <c r="D63"/>
      <c r="E63"/>
      <c r="F63"/>
      <c r="G63"/>
      <c r="H63"/>
      <c r="I63"/>
      <c r="J63" t="s">
        <v>17</v>
      </c>
      <c r="K63">
        <v>5</v>
      </c>
      <c r="L63">
        <v>109665685.85850042</v>
      </c>
      <c r="M63">
        <v>21933137.171700083</v>
      </c>
      <c r="N63">
        <v>41.347484187380218</v>
      </c>
      <c r="O63">
        <v>2.3126599988428523E-6</v>
      </c>
      <c r="P63"/>
      <c r="Q63"/>
      <c r="R63"/>
      <c r="S63"/>
      <c r="T63"/>
      <c r="U63"/>
      <c r="V63"/>
      <c r="W63"/>
      <c r="X63"/>
      <c r="Y63"/>
      <c r="Z63"/>
    </row>
    <row r="64" spans="1:26" x14ac:dyDescent="0.2">
      <c r="A64"/>
      <c r="B64"/>
      <c r="C64"/>
      <c r="D64"/>
      <c r="E64"/>
      <c r="F64"/>
      <c r="G64"/>
      <c r="H64"/>
      <c r="I64" t="s">
        <v>62</v>
      </c>
      <c r="J64" t="s">
        <v>18</v>
      </c>
      <c r="K64">
        <v>10</v>
      </c>
      <c r="L64" s="64">
        <v>5304588.0789995827</v>
      </c>
      <c r="M64">
        <v>530458.80789995822</v>
      </c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ht="17" thickBot="1" x14ac:dyDescent="0.25">
      <c r="A65"/>
      <c r="B65"/>
      <c r="C65"/>
      <c r="D65"/>
      <c r="E65"/>
      <c r="F65"/>
      <c r="G65"/>
      <c r="H65"/>
      <c r="I65"/>
      <c r="J65" s="6" t="s">
        <v>19</v>
      </c>
      <c r="K65" s="6">
        <v>15</v>
      </c>
      <c r="L65" s="6">
        <v>114970273.9375</v>
      </c>
      <c r="M65" s="6"/>
      <c r="N65" s="6"/>
      <c r="O65" s="6"/>
      <c r="P65"/>
      <c r="Q65"/>
      <c r="R65"/>
      <c r="S65"/>
      <c r="T65"/>
      <c r="U65"/>
      <c r="V65"/>
      <c r="W65"/>
      <c r="X65"/>
      <c r="Y65"/>
      <c r="Z65"/>
    </row>
    <row r="66" spans="1:26" ht="17" thickBo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x14ac:dyDescent="0.2">
      <c r="A67"/>
      <c r="B67"/>
      <c r="C67"/>
      <c r="D67"/>
      <c r="E67"/>
      <c r="F67"/>
      <c r="G67"/>
      <c r="H67"/>
      <c r="I67"/>
      <c r="J67" s="7"/>
      <c r="K67" s="7" t="s">
        <v>20</v>
      </c>
      <c r="L67" s="7" t="s">
        <v>9</v>
      </c>
      <c r="M67" s="7" t="s">
        <v>21</v>
      </c>
      <c r="N67" s="7" t="s">
        <v>22</v>
      </c>
      <c r="O67" s="7" t="s">
        <v>23</v>
      </c>
      <c r="P67" s="7" t="s">
        <v>24</v>
      </c>
      <c r="Q67" s="7" t="s">
        <v>25</v>
      </c>
      <c r="R67" s="7" t="s">
        <v>26</v>
      </c>
      <c r="S67"/>
      <c r="T67"/>
      <c r="U67"/>
      <c r="V67"/>
      <c r="W67"/>
      <c r="X67"/>
      <c r="Y67"/>
      <c r="Z67"/>
    </row>
    <row r="68" spans="1:26" x14ac:dyDescent="0.2">
      <c r="A68"/>
      <c r="B68"/>
      <c r="C68"/>
      <c r="D68"/>
      <c r="E68"/>
      <c r="F68"/>
      <c r="G68"/>
      <c r="H68"/>
      <c r="I68"/>
      <c r="J68" t="s">
        <v>27</v>
      </c>
      <c r="K68">
        <v>802688.65681730164</v>
      </c>
      <c r="L68">
        <v>467932.74436528649</v>
      </c>
      <c r="M68">
        <v>1.7153932193954173</v>
      </c>
      <c r="N68">
        <v>0.11703716475156839</v>
      </c>
      <c r="O68">
        <v>-239930.47101955459</v>
      </c>
      <c r="P68">
        <v>1845307.7846541579</v>
      </c>
      <c r="Q68">
        <v>-239930.47101955459</v>
      </c>
      <c r="R68">
        <v>1845307.7846541579</v>
      </c>
      <c r="S68"/>
      <c r="T68"/>
      <c r="U68"/>
      <c r="V68"/>
      <c r="W68"/>
      <c r="X68"/>
      <c r="Y68"/>
      <c r="Z68"/>
    </row>
    <row r="69" spans="1:26" x14ac:dyDescent="0.2">
      <c r="A69"/>
      <c r="B69"/>
      <c r="C69"/>
      <c r="D69"/>
      <c r="E69"/>
      <c r="F69"/>
      <c r="G69"/>
      <c r="H69"/>
      <c r="I69"/>
      <c r="J69" t="s">
        <v>29</v>
      </c>
      <c r="K69">
        <v>61.677476047029117</v>
      </c>
      <c r="L69">
        <v>35.750593049101205</v>
      </c>
      <c r="M69">
        <v>1.7252154660013319</v>
      </c>
      <c r="N69">
        <v>0.11520025108678768</v>
      </c>
      <c r="O69">
        <v>-17.979809307223722</v>
      </c>
      <c r="P69">
        <v>141.33476140128195</v>
      </c>
      <c r="Q69">
        <v>-17.979809307223722</v>
      </c>
      <c r="R69">
        <v>141.33476140128195</v>
      </c>
      <c r="S69"/>
      <c r="T69"/>
      <c r="U69"/>
      <c r="V69"/>
      <c r="W69"/>
      <c r="X69"/>
      <c r="Y69"/>
      <c r="Z69"/>
    </row>
    <row r="70" spans="1:26" x14ac:dyDescent="0.2">
      <c r="A70"/>
      <c r="B70"/>
      <c r="C70"/>
      <c r="D70"/>
      <c r="E70"/>
      <c r="F70"/>
      <c r="G70"/>
      <c r="H70"/>
      <c r="I70"/>
      <c r="J70" t="s">
        <v>2</v>
      </c>
      <c r="K70">
        <v>-9624.1773006923813</v>
      </c>
      <c r="L70">
        <v>5606.6728126614871</v>
      </c>
      <c r="M70">
        <v>-1.7165576844359829</v>
      </c>
      <c r="N70">
        <v>0.11681801307351258</v>
      </c>
      <c r="O70">
        <v>-22116.622824958602</v>
      </c>
      <c r="P70">
        <v>2868.2682235738407</v>
      </c>
      <c r="Q70">
        <v>-22116.622824958602</v>
      </c>
      <c r="R70">
        <v>2868.2682235738407</v>
      </c>
      <c r="S70"/>
      <c r="T70"/>
      <c r="U70"/>
      <c r="V70"/>
      <c r="W70"/>
      <c r="X70"/>
      <c r="Y70"/>
      <c r="Z70"/>
    </row>
    <row r="71" spans="1:26" x14ac:dyDescent="0.2">
      <c r="A71"/>
      <c r="B71"/>
      <c r="C71"/>
      <c r="D71"/>
      <c r="E71"/>
      <c r="F71"/>
      <c r="G71"/>
      <c r="H71"/>
      <c r="I71"/>
      <c r="J71" t="s">
        <v>32</v>
      </c>
      <c r="K71">
        <v>5173.0191086430923</v>
      </c>
      <c r="L71">
        <v>2985.9351782965878</v>
      </c>
      <c r="M71">
        <v>1.7324619590684447</v>
      </c>
      <c r="N71">
        <v>0.11386185367790284</v>
      </c>
      <c r="O71">
        <v>-1480.0590716320983</v>
      </c>
      <c r="P71">
        <v>11826.097288918283</v>
      </c>
      <c r="Q71">
        <v>-1480.0590716320983</v>
      </c>
      <c r="R71">
        <v>11826.097288918283</v>
      </c>
      <c r="S71"/>
      <c r="T71"/>
      <c r="U71"/>
      <c r="V71"/>
      <c r="W71"/>
      <c r="X71"/>
      <c r="Y71"/>
      <c r="Z71"/>
    </row>
    <row r="72" spans="1:26" x14ac:dyDescent="0.2">
      <c r="A72"/>
      <c r="B72"/>
      <c r="C72"/>
      <c r="D72"/>
      <c r="E72"/>
      <c r="F72"/>
      <c r="G72"/>
      <c r="H72"/>
      <c r="I72"/>
      <c r="J72" t="s">
        <v>63</v>
      </c>
      <c r="K72">
        <v>-1.2340080953159695E-3</v>
      </c>
      <c r="L72">
        <v>7.7627268257042547E-4</v>
      </c>
      <c r="M72">
        <v>-1.5896580196920906</v>
      </c>
      <c r="N72">
        <v>0.14299599472066185</v>
      </c>
      <c r="O72">
        <v>-2.963651419086743E-3</v>
      </c>
      <c r="P72">
        <v>4.9563522845480392E-4</v>
      </c>
      <c r="Q72">
        <v>-2.963651419086743E-3</v>
      </c>
      <c r="R72">
        <v>4.9563522845480392E-4</v>
      </c>
      <c r="S72"/>
      <c r="T72"/>
      <c r="U72"/>
      <c r="V72"/>
      <c r="W72"/>
      <c r="X72"/>
      <c r="Y72"/>
      <c r="Z72"/>
    </row>
    <row r="73" spans="1:26" ht="17" thickBot="1" x14ac:dyDescent="0.25">
      <c r="A73"/>
      <c r="B73"/>
      <c r="C73"/>
      <c r="D73"/>
      <c r="E73"/>
      <c r="F73"/>
      <c r="G73"/>
      <c r="H73"/>
      <c r="I73"/>
      <c r="J73" s="6" t="s">
        <v>64</v>
      </c>
      <c r="K73" s="6">
        <v>2.1294341716531823E-8</v>
      </c>
      <c r="L73" s="6">
        <v>1.4056194009072242E-8</v>
      </c>
      <c r="M73" s="6">
        <v>1.5149436399915859</v>
      </c>
      <c r="N73" s="6">
        <v>0.16073650523502236</v>
      </c>
      <c r="O73" s="6">
        <v>-1.0024810266138749E-8</v>
      </c>
      <c r="P73" s="6">
        <v>5.2613493699202396E-8</v>
      </c>
      <c r="Q73" s="6">
        <v>-1.0024810266138749E-8</v>
      </c>
      <c r="R73" s="6">
        <v>5.2613493699202396E-8</v>
      </c>
      <c r="S73"/>
      <c r="T73"/>
      <c r="U73"/>
      <c r="V73"/>
      <c r="W73"/>
      <c r="X73"/>
      <c r="Y73"/>
      <c r="Z73"/>
    </row>
    <row r="74" spans="1:26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x14ac:dyDescent="0.2">
      <c r="J75"/>
      <c r="K75"/>
      <c r="L75"/>
      <c r="M75"/>
      <c r="N75"/>
      <c r="O75"/>
      <c r="P75"/>
      <c r="Q75"/>
      <c r="R75"/>
    </row>
    <row r="76" spans="1:26" x14ac:dyDescent="0.2">
      <c r="J76"/>
      <c r="K76"/>
      <c r="L76"/>
      <c r="M76"/>
      <c r="N76"/>
      <c r="O76"/>
      <c r="P76"/>
      <c r="Q76"/>
      <c r="R76"/>
    </row>
    <row r="77" spans="1:26" x14ac:dyDescent="0.2">
      <c r="J77"/>
      <c r="K77"/>
      <c r="L77"/>
      <c r="M77"/>
      <c r="N77"/>
      <c r="O77"/>
      <c r="P77"/>
      <c r="Q77"/>
      <c r="R77"/>
    </row>
    <row r="78" spans="1:26" x14ac:dyDescent="0.2">
      <c r="J78"/>
      <c r="K78"/>
      <c r="L78"/>
      <c r="M78"/>
      <c r="N78"/>
      <c r="O78"/>
      <c r="P78"/>
      <c r="Q78"/>
      <c r="R78"/>
    </row>
    <row r="79" spans="1:26" x14ac:dyDescent="0.2">
      <c r="J79" s="29"/>
      <c r="K79" s="29"/>
      <c r="L79" s="29"/>
      <c r="M79"/>
      <c r="N79"/>
      <c r="O79"/>
      <c r="P79"/>
      <c r="Q79"/>
      <c r="R79"/>
    </row>
    <row r="80" spans="1:26" x14ac:dyDescent="0.2">
      <c r="J80"/>
      <c r="K80"/>
      <c r="L80"/>
      <c r="M80"/>
      <c r="N80"/>
      <c r="O80"/>
      <c r="P80"/>
      <c r="Q80"/>
      <c r="R80"/>
    </row>
    <row r="81" spans="10:18" x14ac:dyDescent="0.2">
      <c r="J81"/>
      <c r="K81"/>
      <c r="L81"/>
      <c r="M81"/>
      <c r="N81"/>
      <c r="O81"/>
      <c r="P81"/>
      <c r="Q81"/>
      <c r="R81"/>
    </row>
    <row r="82" spans="10:18" x14ac:dyDescent="0.2">
      <c r="J82"/>
      <c r="K82"/>
      <c r="L82"/>
      <c r="M82"/>
      <c r="N82"/>
      <c r="O82"/>
      <c r="P82"/>
      <c r="Q82"/>
      <c r="R82"/>
    </row>
    <row r="83" spans="10:18" x14ac:dyDescent="0.2">
      <c r="J83"/>
      <c r="K83"/>
      <c r="L83"/>
      <c r="M83"/>
      <c r="N83"/>
      <c r="O83"/>
      <c r="P83"/>
      <c r="Q83"/>
      <c r="R83"/>
    </row>
    <row r="84" spans="10:18" x14ac:dyDescent="0.2">
      <c r="J84"/>
      <c r="K84"/>
      <c r="L84"/>
      <c r="M84"/>
      <c r="N84"/>
      <c r="O84"/>
      <c r="P84"/>
      <c r="Q84"/>
      <c r="R84"/>
    </row>
    <row r="85" spans="10:18" x14ac:dyDescent="0.2">
      <c r="J85"/>
      <c r="K85"/>
      <c r="L85"/>
      <c r="M85"/>
      <c r="N85"/>
      <c r="O85"/>
      <c r="P85"/>
      <c r="Q85"/>
      <c r="R85"/>
    </row>
    <row r="86" spans="10:18" x14ac:dyDescent="0.2">
      <c r="J86"/>
      <c r="K86"/>
      <c r="L86"/>
      <c r="M86"/>
      <c r="N86"/>
      <c r="O86"/>
      <c r="P86"/>
      <c r="Q86"/>
      <c r="R86"/>
    </row>
    <row r="87" spans="10:18" x14ac:dyDescent="0.2">
      <c r="J87"/>
      <c r="K87"/>
      <c r="L87"/>
      <c r="M87"/>
      <c r="N87"/>
      <c r="O87"/>
      <c r="P87"/>
      <c r="Q87"/>
      <c r="R87"/>
    </row>
    <row r="88" spans="10:18" x14ac:dyDescent="0.2">
      <c r="J88"/>
      <c r="K88"/>
      <c r="L88"/>
      <c r="M88"/>
      <c r="N88"/>
      <c r="O88"/>
      <c r="P88"/>
      <c r="Q88"/>
      <c r="R88"/>
    </row>
    <row r="89" spans="10:18" x14ac:dyDescent="0.2">
      <c r="J89"/>
      <c r="K89"/>
      <c r="L89"/>
      <c r="M89"/>
      <c r="N89"/>
      <c r="O89"/>
      <c r="P89"/>
      <c r="Q89"/>
      <c r="R89"/>
    </row>
    <row r="90" spans="10:18" x14ac:dyDescent="0.2">
      <c r="J90"/>
      <c r="K90"/>
      <c r="L90"/>
      <c r="M90"/>
      <c r="N90"/>
      <c r="O90"/>
      <c r="P90"/>
      <c r="Q90"/>
      <c r="R90"/>
    </row>
    <row r="91" spans="10:18" x14ac:dyDescent="0.2">
      <c r="J91"/>
      <c r="K91"/>
      <c r="L91"/>
      <c r="M91"/>
      <c r="N91"/>
      <c r="O91"/>
      <c r="P91"/>
      <c r="Q91"/>
      <c r="R91"/>
    </row>
    <row r="92" spans="10:18" x14ac:dyDescent="0.2">
      <c r="J92"/>
      <c r="K92"/>
      <c r="L92"/>
      <c r="M92"/>
      <c r="N92"/>
      <c r="O92"/>
      <c r="P92"/>
      <c r="Q92"/>
      <c r="R92"/>
    </row>
    <row r="93" spans="10:18" x14ac:dyDescent="0.2">
      <c r="J93"/>
      <c r="K93"/>
      <c r="L93"/>
      <c r="M93"/>
      <c r="N93"/>
      <c r="O93"/>
      <c r="P93"/>
      <c r="Q93"/>
      <c r="R93"/>
    </row>
    <row r="94" spans="10:18" x14ac:dyDescent="0.2">
      <c r="J94"/>
      <c r="K94"/>
      <c r="L94"/>
      <c r="M94"/>
      <c r="N94"/>
      <c r="O94"/>
      <c r="P94"/>
      <c r="Q94"/>
      <c r="R94"/>
    </row>
    <row r="95" spans="10:18" x14ac:dyDescent="0.2">
      <c r="J95"/>
      <c r="K95"/>
      <c r="L95"/>
      <c r="M95"/>
      <c r="N95"/>
      <c r="O95"/>
      <c r="P95"/>
      <c r="Q95"/>
      <c r="R9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X233"/>
  <sheetViews>
    <sheetView topLeftCell="A8" workbookViewId="0">
      <selection activeCell="D26" sqref="D26"/>
    </sheetView>
  </sheetViews>
  <sheetFormatPr baseColWidth="10" defaultColWidth="11" defaultRowHeight="16" x14ac:dyDescent="0.2"/>
  <cols>
    <col min="3" max="3" width="13.6640625" customWidth="1"/>
    <col min="7" max="7" width="14.83203125" customWidth="1"/>
    <col min="10" max="10" width="11.1640625" customWidth="1"/>
    <col min="12" max="12" width="12.1640625" bestFit="1" customWidth="1"/>
  </cols>
  <sheetData>
    <row r="3" spans="2:20" ht="17" thickBot="1" x14ac:dyDescent="0.25"/>
    <row r="4" spans="2:20" ht="88" thickBot="1" x14ac:dyDescent="0.3">
      <c r="B4" s="30" t="s">
        <v>0</v>
      </c>
      <c r="C4" s="31" t="s">
        <v>1</v>
      </c>
      <c r="D4" s="32" t="s">
        <v>65</v>
      </c>
      <c r="E4" s="32" t="s">
        <v>155</v>
      </c>
      <c r="F4" s="32" t="s">
        <v>66</v>
      </c>
      <c r="G4" s="32" t="s">
        <v>67</v>
      </c>
      <c r="H4" s="32" t="s">
        <v>68</v>
      </c>
      <c r="I4" s="32" t="s">
        <v>69</v>
      </c>
      <c r="J4" s="32" t="s">
        <v>70</v>
      </c>
      <c r="K4" s="32" t="s">
        <v>71</v>
      </c>
      <c r="L4" s="32" t="s">
        <v>72</v>
      </c>
      <c r="M4" s="33" t="s">
        <v>73</v>
      </c>
    </row>
    <row r="5" spans="2:20" x14ac:dyDescent="0.2">
      <c r="B5" s="34">
        <v>2008</v>
      </c>
      <c r="C5" s="10">
        <v>13069</v>
      </c>
      <c r="D5" s="17">
        <v>3158.48</v>
      </c>
      <c r="E5" s="17">
        <v>104.2</v>
      </c>
      <c r="F5" s="96">
        <v>37.590000000000003</v>
      </c>
      <c r="G5" s="106">
        <f>D5^2</f>
        <v>9975995.9103999995</v>
      </c>
      <c r="H5" s="106">
        <f>E5^2</f>
        <v>10857.640000000001</v>
      </c>
      <c r="I5" s="96">
        <f>F5^2</f>
        <v>1413.0081000000002</v>
      </c>
      <c r="J5" s="97">
        <f>D5*E5</f>
        <v>329113.61600000004</v>
      </c>
      <c r="K5" s="97">
        <f>D5*F5</f>
        <v>118727.26320000002</v>
      </c>
      <c r="L5" s="97">
        <f>E5*F5</f>
        <v>3916.8780000000006</v>
      </c>
      <c r="M5" s="108">
        <f>Q32^2</f>
        <v>351984.07432885718</v>
      </c>
      <c r="O5" t="s">
        <v>44</v>
      </c>
    </row>
    <row r="6" spans="2:20" x14ac:dyDescent="0.2">
      <c r="B6" s="35">
        <v>2009</v>
      </c>
      <c r="C6" s="16">
        <v>13305</v>
      </c>
      <c r="D6" s="4">
        <v>3315.38</v>
      </c>
      <c r="E6" s="4">
        <v>103.5</v>
      </c>
      <c r="F6" s="89">
        <v>35.75</v>
      </c>
      <c r="G6" s="91">
        <f t="shared" ref="G6:G20" si="0">D6^2</f>
        <v>10991744.544400001</v>
      </c>
      <c r="H6" s="91">
        <f t="shared" ref="H6:H20" si="1">E6^2</f>
        <v>10712.25</v>
      </c>
      <c r="I6" s="89">
        <f t="shared" ref="I6:I20" si="2">F6^2</f>
        <v>1278.0625</v>
      </c>
      <c r="J6" s="90">
        <f t="shared" ref="J6:J20" si="3">D6*E6</f>
        <v>343141.83</v>
      </c>
      <c r="K6" s="90">
        <f t="shared" ref="K6:K20" si="4">D6*F6</f>
        <v>118524.83500000001</v>
      </c>
      <c r="L6" s="90">
        <f t="shared" ref="L6:L20" si="5">E6*F6</f>
        <v>3700.125</v>
      </c>
      <c r="M6" s="173">
        <f t="shared" ref="M6:M20" si="6">Q33^2</f>
        <v>421344.47032301762</v>
      </c>
      <c r="O6" t="s">
        <v>4</v>
      </c>
    </row>
    <row r="7" spans="2:20" ht="17" thickBot="1" x14ac:dyDescent="0.25">
      <c r="B7" s="35">
        <v>2010</v>
      </c>
      <c r="C7" s="16">
        <v>14408</v>
      </c>
      <c r="D7" s="4">
        <v>3435</v>
      </c>
      <c r="E7" s="4">
        <v>102.6</v>
      </c>
      <c r="F7" s="89">
        <v>34.270000000000003</v>
      </c>
      <c r="G7" s="91">
        <f t="shared" si="0"/>
        <v>11799225</v>
      </c>
      <c r="H7" s="91">
        <f t="shared" si="1"/>
        <v>10526.759999999998</v>
      </c>
      <c r="I7" s="89">
        <f t="shared" si="2"/>
        <v>1174.4329000000002</v>
      </c>
      <c r="J7" s="90">
        <f t="shared" si="3"/>
        <v>352431</v>
      </c>
      <c r="K7" s="90">
        <f t="shared" si="4"/>
        <v>117717.45000000001</v>
      </c>
      <c r="L7" s="90">
        <f t="shared" si="5"/>
        <v>3516.1020000000003</v>
      </c>
      <c r="M7" s="173">
        <f t="shared" si="6"/>
        <v>10242.914301216922</v>
      </c>
    </row>
    <row r="8" spans="2:20" x14ac:dyDescent="0.2">
      <c r="B8" s="35">
        <v>2011</v>
      </c>
      <c r="C8" s="16">
        <v>13886</v>
      </c>
      <c r="D8" s="4">
        <v>3625.21</v>
      </c>
      <c r="E8" s="4">
        <v>104.3</v>
      </c>
      <c r="F8" s="92">
        <v>34.5</v>
      </c>
      <c r="G8" s="91">
        <f t="shared" si="0"/>
        <v>13142147.5441</v>
      </c>
      <c r="H8" s="91">
        <f t="shared" si="1"/>
        <v>10878.49</v>
      </c>
      <c r="I8" s="89">
        <f t="shared" si="2"/>
        <v>1190.25</v>
      </c>
      <c r="J8" s="90">
        <f t="shared" si="3"/>
        <v>378109.40299999999</v>
      </c>
      <c r="K8" s="90">
        <f t="shared" si="4"/>
        <v>125069.745</v>
      </c>
      <c r="L8" s="90">
        <f t="shared" si="5"/>
        <v>3598.35</v>
      </c>
      <c r="M8" s="173">
        <f t="shared" si="6"/>
        <v>74767.768659417998</v>
      </c>
      <c r="O8" s="8" t="s">
        <v>5</v>
      </c>
      <c r="P8" s="8"/>
    </row>
    <row r="9" spans="2:20" x14ac:dyDescent="0.2">
      <c r="B9" s="35">
        <v>2012</v>
      </c>
      <c r="C9" s="16">
        <v>15137</v>
      </c>
      <c r="D9" s="4">
        <v>3744.38</v>
      </c>
      <c r="E9" s="4">
        <v>103.7</v>
      </c>
      <c r="F9" s="92">
        <v>33.6</v>
      </c>
      <c r="G9" s="91">
        <f t="shared" si="0"/>
        <v>14020381.5844</v>
      </c>
      <c r="H9" s="91">
        <f t="shared" si="1"/>
        <v>10753.69</v>
      </c>
      <c r="I9" s="89">
        <f t="shared" si="2"/>
        <v>1128.96</v>
      </c>
      <c r="J9" s="90">
        <f t="shared" si="3"/>
        <v>388292.20600000001</v>
      </c>
      <c r="K9" s="90">
        <f t="shared" si="4"/>
        <v>125811.16800000001</v>
      </c>
      <c r="L9" s="90">
        <f t="shared" si="5"/>
        <v>3484.32</v>
      </c>
      <c r="M9" s="173">
        <f t="shared" si="6"/>
        <v>389294.72176059091</v>
      </c>
      <c r="O9" t="s">
        <v>6</v>
      </c>
      <c r="P9">
        <v>0.96297973578096596</v>
      </c>
    </row>
    <row r="10" spans="2:20" x14ac:dyDescent="0.2">
      <c r="B10" s="35">
        <v>2013</v>
      </c>
      <c r="C10" s="16">
        <v>15807</v>
      </c>
      <c r="D10" s="4">
        <v>3877.43</v>
      </c>
      <c r="E10" s="4">
        <v>100.9</v>
      </c>
      <c r="F10" s="92">
        <v>33.799999999999997</v>
      </c>
      <c r="G10" s="91">
        <f t="shared" si="0"/>
        <v>15034463.404899999</v>
      </c>
      <c r="H10" s="91">
        <f t="shared" si="1"/>
        <v>10180.810000000001</v>
      </c>
      <c r="I10" s="89">
        <f t="shared" si="2"/>
        <v>1142.4399999999998</v>
      </c>
      <c r="J10" s="90">
        <f t="shared" si="3"/>
        <v>391232.68700000003</v>
      </c>
      <c r="K10" s="90">
        <f t="shared" si="4"/>
        <v>131057.13399999998</v>
      </c>
      <c r="L10" s="90">
        <f t="shared" si="5"/>
        <v>3410.42</v>
      </c>
      <c r="M10" s="173">
        <f t="shared" si="6"/>
        <v>42358.826284355768</v>
      </c>
      <c r="O10" t="s">
        <v>7</v>
      </c>
      <c r="P10">
        <v>0.92732997152477903</v>
      </c>
    </row>
    <row r="11" spans="2:20" x14ac:dyDescent="0.2">
      <c r="B11" s="35">
        <v>2014</v>
      </c>
      <c r="C11" s="16">
        <v>17325</v>
      </c>
      <c r="D11" s="4">
        <v>4003.99</v>
      </c>
      <c r="E11" s="4">
        <v>100</v>
      </c>
      <c r="F11" s="92">
        <v>34.799999999999997</v>
      </c>
      <c r="G11" s="91">
        <f t="shared" si="0"/>
        <v>16031935.920099998</v>
      </c>
      <c r="H11" s="91">
        <f t="shared" si="1"/>
        <v>10000</v>
      </c>
      <c r="I11" s="89">
        <f t="shared" si="2"/>
        <v>1211.0399999999997</v>
      </c>
      <c r="J11" s="90">
        <f t="shared" si="3"/>
        <v>400399</v>
      </c>
      <c r="K11" s="90">
        <f t="shared" si="4"/>
        <v>139338.85199999998</v>
      </c>
      <c r="L11" s="90">
        <f t="shared" si="5"/>
        <v>3479.9999999999995</v>
      </c>
      <c r="M11" s="173">
        <f t="shared" si="6"/>
        <v>176527.35500905724</v>
      </c>
      <c r="O11" t="s">
        <v>8</v>
      </c>
      <c r="P11">
        <v>0.90916246440597381</v>
      </c>
    </row>
    <row r="12" spans="2:20" x14ac:dyDescent="0.2">
      <c r="B12" s="35">
        <v>2015</v>
      </c>
      <c r="C12" s="16">
        <v>18611</v>
      </c>
      <c r="D12" s="4">
        <v>4150.8599999999997</v>
      </c>
      <c r="E12" s="4">
        <v>99.1</v>
      </c>
      <c r="F12" s="92">
        <v>36.700000000000003</v>
      </c>
      <c r="G12" s="91">
        <f t="shared" si="0"/>
        <v>17229638.739599999</v>
      </c>
      <c r="H12" s="91">
        <f t="shared" si="1"/>
        <v>9820.81</v>
      </c>
      <c r="I12" s="89">
        <f t="shared" si="2"/>
        <v>1346.89</v>
      </c>
      <c r="J12" s="90">
        <f t="shared" si="3"/>
        <v>411350.22599999997</v>
      </c>
      <c r="K12" s="90">
        <f t="shared" si="4"/>
        <v>152336.56200000001</v>
      </c>
      <c r="L12" s="90">
        <f t="shared" si="5"/>
        <v>3636.9700000000003</v>
      </c>
      <c r="M12" s="173">
        <f t="shared" si="6"/>
        <v>328477.03315439529</v>
      </c>
      <c r="O12" t="s">
        <v>9</v>
      </c>
      <c r="P12">
        <v>834.41062437517689</v>
      </c>
    </row>
    <row r="13" spans="2:20" ht="17" thickBot="1" x14ac:dyDescent="0.25">
      <c r="B13" s="35">
        <v>2016</v>
      </c>
      <c r="C13" s="16">
        <v>19623</v>
      </c>
      <c r="D13" s="4">
        <v>4290.5200000000004</v>
      </c>
      <c r="E13" s="4">
        <v>99.4</v>
      </c>
      <c r="F13" s="92">
        <v>38.1</v>
      </c>
      <c r="G13" s="91">
        <f t="shared" si="0"/>
        <v>18408561.870400004</v>
      </c>
      <c r="H13" s="91">
        <f t="shared" si="1"/>
        <v>9880.36</v>
      </c>
      <c r="I13" s="89">
        <f t="shared" si="2"/>
        <v>1451.6100000000001</v>
      </c>
      <c r="J13" s="90">
        <f t="shared" si="3"/>
        <v>426477.68800000008</v>
      </c>
      <c r="K13" s="90">
        <f t="shared" si="4"/>
        <v>163468.81200000003</v>
      </c>
      <c r="L13" s="90">
        <f t="shared" si="5"/>
        <v>3787.1400000000003</v>
      </c>
      <c r="M13" s="173">
        <f t="shared" si="6"/>
        <v>1113675.7672262434</v>
      </c>
      <c r="O13" s="6" t="s">
        <v>10</v>
      </c>
      <c r="P13" s="6">
        <v>16</v>
      </c>
    </row>
    <row r="14" spans="2:20" x14ac:dyDescent="0.2">
      <c r="B14" s="35">
        <v>2017</v>
      </c>
      <c r="C14" s="16">
        <v>19125</v>
      </c>
      <c r="D14" s="4">
        <v>4527.8900000000003</v>
      </c>
      <c r="E14" s="4">
        <v>102</v>
      </c>
      <c r="F14" s="92">
        <v>39.299999999999997</v>
      </c>
      <c r="G14" s="91">
        <f t="shared" si="0"/>
        <v>20501787.852100004</v>
      </c>
      <c r="H14" s="91">
        <f t="shared" si="1"/>
        <v>10404</v>
      </c>
      <c r="I14" s="89">
        <f t="shared" si="2"/>
        <v>1544.4899999999998</v>
      </c>
      <c r="J14" s="90">
        <f t="shared" si="3"/>
        <v>461844.78</v>
      </c>
      <c r="K14" s="90">
        <f t="shared" si="4"/>
        <v>177946.07699999999</v>
      </c>
      <c r="L14" s="90">
        <f t="shared" si="5"/>
        <v>4008.6</v>
      </c>
      <c r="M14" s="173">
        <f t="shared" si="6"/>
        <v>548219.49197209661</v>
      </c>
    </row>
    <row r="15" spans="2:20" ht="17" thickBot="1" x14ac:dyDescent="0.25">
      <c r="B15" s="35">
        <v>2018</v>
      </c>
      <c r="C15" s="16">
        <v>17700</v>
      </c>
      <c r="D15" s="4">
        <v>4834.76</v>
      </c>
      <c r="E15" s="4">
        <v>101.6</v>
      </c>
      <c r="F15" s="92">
        <v>40.1</v>
      </c>
      <c r="G15" s="91">
        <f t="shared" si="0"/>
        <v>23374904.257600002</v>
      </c>
      <c r="H15" s="91">
        <f t="shared" si="1"/>
        <v>10322.56</v>
      </c>
      <c r="I15" s="89">
        <f t="shared" si="2"/>
        <v>1608.0100000000002</v>
      </c>
      <c r="J15" s="90">
        <f t="shared" si="3"/>
        <v>491211.61599999998</v>
      </c>
      <c r="K15" s="90">
        <f t="shared" si="4"/>
        <v>193873.87600000002</v>
      </c>
      <c r="L15" s="90">
        <f t="shared" si="5"/>
        <v>4074.16</v>
      </c>
      <c r="M15" s="173">
        <f t="shared" si="6"/>
        <v>3215943.1187479906</v>
      </c>
      <c r="O15" t="s">
        <v>11</v>
      </c>
    </row>
    <row r="16" spans="2:20" x14ac:dyDescent="0.2">
      <c r="B16" s="35">
        <v>2019</v>
      </c>
      <c r="C16" s="16">
        <v>20260</v>
      </c>
      <c r="D16" s="4">
        <v>5181.63</v>
      </c>
      <c r="E16" s="4">
        <v>102.3</v>
      </c>
      <c r="F16" s="92">
        <v>40.6</v>
      </c>
      <c r="G16" s="91">
        <f t="shared" si="0"/>
        <v>26849289.456900001</v>
      </c>
      <c r="H16" s="91">
        <f t="shared" si="1"/>
        <v>10465.289999999999</v>
      </c>
      <c r="I16" s="89">
        <f t="shared" si="2"/>
        <v>1648.3600000000001</v>
      </c>
      <c r="J16" s="90">
        <f t="shared" si="3"/>
        <v>530080.74899999995</v>
      </c>
      <c r="K16" s="90">
        <f t="shared" si="4"/>
        <v>210374.17800000001</v>
      </c>
      <c r="L16" s="90">
        <f t="shared" si="5"/>
        <v>4153.38</v>
      </c>
      <c r="M16" s="173">
        <f t="shared" si="6"/>
        <v>3486.422043446621</v>
      </c>
      <c r="O16" s="7"/>
      <c r="P16" s="7" t="s">
        <v>12</v>
      </c>
      <c r="Q16" s="7" t="s">
        <v>13</v>
      </c>
      <c r="R16" s="7" t="s">
        <v>14</v>
      </c>
      <c r="S16" s="7" t="s">
        <v>15</v>
      </c>
      <c r="T16" s="7" t="s">
        <v>16</v>
      </c>
    </row>
    <row r="17" spans="2:23" x14ac:dyDescent="0.2">
      <c r="B17" s="35">
        <v>2020</v>
      </c>
      <c r="C17" s="16">
        <v>17778</v>
      </c>
      <c r="D17" s="4">
        <v>5523.32</v>
      </c>
      <c r="E17" s="4">
        <v>103.4</v>
      </c>
      <c r="F17" s="92">
        <v>26.8</v>
      </c>
      <c r="G17" s="91">
        <f t="shared" si="0"/>
        <v>30507063.822399996</v>
      </c>
      <c r="H17" s="91">
        <f t="shared" si="1"/>
        <v>10691.560000000001</v>
      </c>
      <c r="I17" s="89">
        <f t="shared" si="2"/>
        <v>718.24</v>
      </c>
      <c r="J17" s="90">
        <f t="shared" si="3"/>
        <v>571111.28800000006</v>
      </c>
      <c r="K17" s="90">
        <f t="shared" si="4"/>
        <v>148024.976</v>
      </c>
      <c r="L17" s="90">
        <f t="shared" si="5"/>
        <v>2771.1200000000003</v>
      </c>
      <c r="M17" s="173">
        <f t="shared" si="6"/>
        <v>2566.8079225204906</v>
      </c>
      <c r="O17" t="s">
        <v>17</v>
      </c>
      <c r="P17">
        <v>3</v>
      </c>
      <c r="Q17">
        <v>106615380.85665792</v>
      </c>
      <c r="R17">
        <v>35538460.285552643</v>
      </c>
      <c r="S17">
        <v>51.043325067141332</v>
      </c>
      <c r="T17">
        <v>4.1823174729643182E-7</v>
      </c>
    </row>
    <row r="18" spans="2:23" x14ac:dyDescent="0.2">
      <c r="B18" s="35">
        <v>2021</v>
      </c>
      <c r="C18" s="16">
        <v>18789</v>
      </c>
      <c r="D18" s="4">
        <v>6001.02</v>
      </c>
      <c r="E18" s="4">
        <v>105.1</v>
      </c>
      <c r="F18" s="92">
        <v>32.299999999999997</v>
      </c>
      <c r="G18" s="91">
        <f t="shared" si="0"/>
        <v>36012241.040400006</v>
      </c>
      <c r="H18" s="91">
        <f t="shared" si="1"/>
        <v>11046.009999999998</v>
      </c>
      <c r="I18" s="89">
        <f t="shared" si="2"/>
        <v>1043.2899999999997</v>
      </c>
      <c r="J18" s="90">
        <f t="shared" si="3"/>
        <v>630707.20200000005</v>
      </c>
      <c r="K18" s="90">
        <f t="shared" si="4"/>
        <v>193832.946</v>
      </c>
      <c r="L18" s="90">
        <f t="shared" si="5"/>
        <v>3394.7299999999996</v>
      </c>
      <c r="M18" s="173">
        <f t="shared" si="6"/>
        <v>397960.54836919205</v>
      </c>
      <c r="O18" t="s">
        <v>18</v>
      </c>
      <c r="P18">
        <v>12</v>
      </c>
      <c r="Q18">
        <v>8354893.0808420712</v>
      </c>
      <c r="R18">
        <v>696241.09007017256</v>
      </c>
    </row>
    <row r="19" spans="2:23" ht="17" thickBot="1" x14ac:dyDescent="0.25">
      <c r="B19" s="35">
        <v>2022</v>
      </c>
      <c r="C19" s="16">
        <v>20215</v>
      </c>
      <c r="D19" s="4">
        <v>6705.62</v>
      </c>
      <c r="E19" s="4">
        <v>114.4</v>
      </c>
      <c r="F19" s="92">
        <v>40.4</v>
      </c>
      <c r="G19" s="91">
        <f t="shared" si="0"/>
        <v>44965339.584399998</v>
      </c>
      <c r="H19" s="91">
        <f t="shared" si="1"/>
        <v>13087.36</v>
      </c>
      <c r="I19" s="89">
        <f t="shared" si="2"/>
        <v>1632.1599999999999</v>
      </c>
      <c r="J19" s="90">
        <f t="shared" si="3"/>
        <v>767122.92800000007</v>
      </c>
      <c r="K19" s="90">
        <f t="shared" si="4"/>
        <v>270907.04800000001</v>
      </c>
      <c r="L19" s="90">
        <f t="shared" si="5"/>
        <v>4621.76</v>
      </c>
      <c r="M19" s="173">
        <f t="shared" si="6"/>
        <v>1033387.5875411184</v>
      </c>
      <c r="O19" s="6" t="s">
        <v>19</v>
      </c>
      <c r="P19" s="6">
        <v>15</v>
      </c>
      <c r="Q19" s="6">
        <v>114970273.9375</v>
      </c>
      <c r="R19" s="6"/>
      <c r="S19" s="6"/>
      <c r="T19" s="6"/>
    </row>
    <row r="20" spans="2:23" ht="17" thickBot="1" x14ac:dyDescent="0.25">
      <c r="B20" s="36">
        <v>2023</v>
      </c>
      <c r="C20" s="21">
        <v>22187</v>
      </c>
      <c r="D20" s="5">
        <v>7595.3</v>
      </c>
      <c r="E20" s="5">
        <v>111.4</v>
      </c>
      <c r="F20" s="14">
        <v>40.5</v>
      </c>
      <c r="G20" s="107">
        <f t="shared" si="0"/>
        <v>57688582.090000004</v>
      </c>
      <c r="H20" s="107">
        <f t="shared" si="1"/>
        <v>12409.960000000001</v>
      </c>
      <c r="I20" s="13">
        <f t="shared" si="2"/>
        <v>1640.25</v>
      </c>
      <c r="J20" s="94">
        <f t="shared" si="3"/>
        <v>846116.42</v>
      </c>
      <c r="K20" s="94">
        <f t="shared" si="4"/>
        <v>307609.65000000002</v>
      </c>
      <c r="L20" s="94">
        <f t="shared" si="5"/>
        <v>4511.7</v>
      </c>
      <c r="M20" s="174">
        <f t="shared" si="6"/>
        <v>244656.17319856476</v>
      </c>
    </row>
    <row r="21" spans="2:23" x14ac:dyDescent="0.2">
      <c r="O21" s="7"/>
      <c r="P21" s="7" t="s">
        <v>20</v>
      </c>
      <c r="Q21" s="7" t="s">
        <v>9</v>
      </c>
      <c r="R21" s="7" t="s">
        <v>21</v>
      </c>
      <c r="S21" s="7" t="s">
        <v>22</v>
      </c>
      <c r="T21" s="7" t="s">
        <v>23</v>
      </c>
      <c r="U21" s="7" t="s">
        <v>24</v>
      </c>
      <c r="V21" s="7" t="s">
        <v>25</v>
      </c>
      <c r="W21" s="7" t="s">
        <v>26</v>
      </c>
    </row>
    <row r="22" spans="2:23" x14ac:dyDescent="0.2">
      <c r="O22" t="s">
        <v>27</v>
      </c>
      <c r="P22">
        <v>39373.261743251824</v>
      </c>
      <c r="Q22">
        <v>6984.2757063156996</v>
      </c>
      <c r="R22">
        <v>5.6374151592623418</v>
      </c>
      <c r="S22">
        <v>1.0944013342118546E-4</v>
      </c>
      <c r="T22">
        <v>24155.832228398034</v>
      </c>
      <c r="U22">
        <v>54590.691258105617</v>
      </c>
      <c r="V22">
        <v>24155.832228398034</v>
      </c>
      <c r="W22">
        <v>54590.691258105617</v>
      </c>
    </row>
    <row r="23" spans="2:23" x14ac:dyDescent="0.2">
      <c r="B23" t="s">
        <v>49</v>
      </c>
      <c r="C23" s="37">
        <f>S62</f>
        <v>0.49724514193030112</v>
      </c>
      <c r="I23" t="s">
        <v>50</v>
      </c>
      <c r="J23">
        <f>P13</f>
        <v>16</v>
      </c>
      <c r="O23" t="s">
        <v>29</v>
      </c>
      <c r="P23">
        <v>2.5435498133689332</v>
      </c>
      <c r="Q23">
        <v>0.23409778224668468</v>
      </c>
      <c r="R23">
        <v>10.865330670619606</v>
      </c>
      <c r="S23">
        <v>1.4505890490845721E-7</v>
      </c>
      <c r="T23">
        <v>2.0334945620132117</v>
      </c>
      <c r="U23">
        <v>3.0536050647246546</v>
      </c>
      <c r="V23">
        <v>2.0334945620132117</v>
      </c>
      <c r="W23">
        <v>3.0536050647246546</v>
      </c>
    </row>
    <row r="24" spans="2:23" x14ac:dyDescent="0.2">
      <c r="B24" t="s">
        <v>51</v>
      </c>
      <c r="C24" s="37">
        <f>_xlfn.F.INV.RT(0.05,J24,6)</f>
        <v>4.099015541716521</v>
      </c>
      <c r="I24" t="s">
        <v>74</v>
      </c>
      <c r="J24">
        <f>P62</f>
        <v>9</v>
      </c>
      <c r="O24" t="s">
        <v>2</v>
      </c>
      <c r="P24">
        <v>-399.73409811594229</v>
      </c>
      <c r="Q24">
        <v>74.010587853682225</v>
      </c>
      <c r="R24">
        <v>-5.4010393608305121</v>
      </c>
      <c r="S24">
        <v>1.5981429098645857E-4</v>
      </c>
      <c r="T24">
        <v>-560.98931646275867</v>
      </c>
      <c r="U24">
        <v>-238.47887976912591</v>
      </c>
      <c r="V24">
        <v>-560.98931646275867</v>
      </c>
      <c r="W24">
        <v>-238.47887976912591</v>
      </c>
    </row>
    <row r="25" spans="2:23" ht="17" thickBot="1" x14ac:dyDescent="0.25">
      <c r="B25" t="s">
        <v>159</v>
      </c>
      <c r="C25" s="37">
        <f>_xlfn.F.DIST.RT(C23,J24,6)</f>
        <v>0.83370570623977702</v>
      </c>
      <c r="O25" s="6" t="s">
        <v>32</v>
      </c>
      <c r="P25" s="6">
        <v>210.36346164828618</v>
      </c>
      <c r="Q25" s="6">
        <v>59.699402963317617</v>
      </c>
      <c r="R25" s="6">
        <v>3.523711313788922</v>
      </c>
      <c r="S25" s="6">
        <v>4.1946782497467028E-3</v>
      </c>
      <c r="T25" s="6">
        <v>80.289636548335992</v>
      </c>
      <c r="U25" s="6">
        <v>340.43728674823637</v>
      </c>
      <c r="V25" s="6">
        <v>80.289636548335992</v>
      </c>
      <c r="W25" s="6">
        <v>340.43728674823637</v>
      </c>
    </row>
    <row r="28" spans="2:23" x14ac:dyDescent="0.2">
      <c r="B28" t="s">
        <v>75</v>
      </c>
    </row>
    <row r="29" spans="2:23" x14ac:dyDescent="0.2">
      <c r="B29" t="s">
        <v>76</v>
      </c>
      <c r="O29" t="s">
        <v>56</v>
      </c>
    </row>
    <row r="30" spans="2:23" ht="17" thickBot="1" x14ac:dyDescent="0.25"/>
    <row r="31" spans="2:23" ht="22" customHeight="1" x14ac:dyDescent="0.2">
      <c r="B31" s="27" t="s">
        <v>54</v>
      </c>
      <c r="C31" s="27" t="s">
        <v>53</v>
      </c>
      <c r="D31" s="27"/>
      <c r="E31" s="27"/>
      <c r="F31" s="27"/>
      <c r="G31" s="27"/>
      <c r="H31" s="27"/>
      <c r="O31" s="7" t="s">
        <v>58</v>
      </c>
      <c r="P31" s="7" t="s">
        <v>59</v>
      </c>
      <c r="Q31" s="77" t="s">
        <v>60</v>
      </c>
    </row>
    <row r="32" spans="2:23" ht="16" customHeight="1" x14ac:dyDescent="0.6">
      <c r="B32" s="27"/>
      <c r="C32" s="27"/>
      <c r="D32" s="27"/>
      <c r="E32" s="27"/>
      <c r="F32" s="27"/>
      <c r="G32" s="27"/>
      <c r="H32" s="27"/>
      <c r="J32" s="79"/>
      <c r="O32" s="205">
        <v>1</v>
      </c>
      <c r="P32" s="205">
        <v>13662.282457459225</v>
      </c>
      <c r="Q32" s="206">
        <v>-593.28245745922504</v>
      </c>
    </row>
    <row r="33" spans="2:17" x14ac:dyDescent="0.2">
      <c r="B33" s="27" t="s">
        <v>93</v>
      </c>
      <c r="C33" s="27"/>
      <c r="D33" s="27"/>
      <c r="E33" s="27"/>
      <c r="F33" s="27"/>
      <c r="G33" s="27"/>
      <c r="H33" s="27"/>
      <c r="O33">
        <v>2</v>
      </c>
      <c r="P33">
        <v>13954.110522425124</v>
      </c>
      <c r="Q33" s="78">
        <v>-649.11052242512415</v>
      </c>
    </row>
    <row r="34" spans="2:17" x14ac:dyDescent="0.2">
      <c r="O34">
        <v>3</v>
      </c>
      <c r="P34">
        <v>14306.792716165204</v>
      </c>
      <c r="Q34" s="78">
        <v>101.20728383479582</v>
      </c>
    </row>
    <row r="35" spans="2:17" x14ac:dyDescent="0.2">
      <c r="O35">
        <v>4</v>
      </c>
      <c r="P35">
        <v>14159.436955548108</v>
      </c>
      <c r="Q35" s="78">
        <v>-273.43695554810802</v>
      </c>
    </row>
    <row r="36" spans="2:17" x14ac:dyDescent="0.2">
      <c r="O36">
        <v>5</v>
      </c>
      <c r="P36">
        <v>14513.06513019339</v>
      </c>
      <c r="Q36" s="78">
        <v>623.93486980660964</v>
      </c>
    </row>
    <row r="37" spans="2:17" x14ac:dyDescent="0.2">
      <c r="O37">
        <v>6</v>
      </c>
      <c r="P37">
        <v>16012.812599916419</v>
      </c>
      <c r="Q37" s="78">
        <v>-205.81259991641855</v>
      </c>
    </row>
    <row r="38" spans="2:17" x14ac:dyDescent="0.2">
      <c r="O38">
        <v>7</v>
      </c>
      <c r="P38">
        <v>16904.848414249027</v>
      </c>
      <c r="Q38" s="78">
        <v>420.15158575097303</v>
      </c>
    </row>
    <row r="39" spans="2:17" x14ac:dyDescent="0.2">
      <c r="C39" s="37"/>
      <c r="O39">
        <v>8</v>
      </c>
      <c r="P39">
        <v>18037.870840774616</v>
      </c>
      <c r="Q39" s="78">
        <v>573.12915922538377</v>
      </c>
    </row>
    <row r="40" spans="2:17" x14ac:dyDescent="0.2">
      <c r="O40">
        <v>9</v>
      </c>
      <c r="P40">
        <v>18567.691624582538</v>
      </c>
      <c r="Q40" s="78">
        <v>1055.3083754174622</v>
      </c>
    </row>
    <row r="41" spans="2:17" x14ac:dyDescent="0.2">
      <c r="O41">
        <v>10</v>
      </c>
      <c r="P41">
        <v>18384.581542658412</v>
      </c>
      <c r="Q41" s="78">
        <v>740.41845734158778</v>
      </c>
    </row>
    <row r="42" spans="2:17" x14ac:dyDescent="0.2">
      <c r="O42">
        <v>11</v>
      </c>
      <c r="P42">
        <v>19493.305082451949</v>
      </c>
      <c r="Q42" s="78">
        <v>-1793.3050824519487</v>
      </c>
    </row>
    <row r="43" spans="2:17" x14ac:dyDescent="0.2">
      <c r="O43">
        <v>12</v>
      </c>
      <c r="P43">
        <v>20200.954068358213</v>
      </c>
      <c r="Q43" s="78">
        <v>59.04593164178732</v>
      </c>
    </row>
    <row r="44" spans="2:17" x14ac:dyDescent="0.2">
      <c r="O44">
        <v>13</v>
      </c>
      <c r="P44">
        <v>17727.336325414351</v>
      </c>
      <c r="Q44" s="78">
        <v>50.66367458564855</v>
      </c>
    </row>
    <row r="45" spans="2:17" x14ac:dyDescent="0.2">
      <c r="O45">
        <v>14</v>
      </c>
      <c r="P45">
        <v>19419.841143529171</v>
      </c>
      <c r="Q45" s="78">
        <v>-630.84114352917095</v>
      </c>
    </row>
    <row r="46" spans="2:17" x14ac:dyDescent="0.2">
      <c r="O46">
        <v>15</v>
      </c>
      <c r="P46">
        <v>19198.44326890177</v>
      </c>
      <c r="Q46" s="78">
        <v>1016.5567310982296</v>
      </c>
    </row>
    <row r="47" spans="2:17" ht="17" thickBot="1" x14ac:dyDescent="0.25">
      <c r="O47" s="6">
        <v>16</v>
      </c>
      <c r="P47" s="6">
        <v>22681.627307372495</v>
      </c>
      <c r="Q47" s="75">
        <v>-494.62730737249512</v>
      </c>
    </row>
    <row r="49" spans="2:20" x14ac:dyDescent="0.2">
      <c r="B49" s="84"/>
      <c r="C49" s="84"/>
    </row>
    <row r="50" spans="2:20" x14ac:dyDescent="0.2">
      <c r="O50" t="s">
        <v>77</v>
      </c>
    </row>
    <row r="51" spans="2:20" x14ac:dyDescent="0.2">
      <c r="O51" t="s">
        <v>4</v>
      </c>
    </row>
    <row r="52" spans="2:20" ht="17" thickBot="1" x14ac:dyDescent="0.25"/>
    <row r="53" spans="2:20" x14ac:dyDescent="0.2">
      <c r="B53" s="28"/>
      <c r="C53" s="28"/>
      <c r="O53" s="8" t="s">
        <v>5</v>
      </c>
      <c r="P53" s="8"/>
    </row>
    <row r="54" spans="2:20" x14ac:dyDescent="0.2">
      <c r="O54" t="s">
        <v>6</v>
      </c>
      <c r="P54">
        <v>0.65361985636715769</v>
      </c>
    </row>
    <row r="55" spans="2:20" x14ac:dyDescent="0.2">
      <c r="O55" t="s">
        <v>7</v>
      </c>
      <c r="P55">
        <v>0.42721891663742378</v>
      </c>
    </row>
    <row r="56" spans="2:20" x14ac:dyDescent="0.2">
      <c r="O56" t="s">
        <v>8</v>
      </c>
      <c r="P56">
        <v>-0.43195270840644051</v>
      </c>
    </row>
    <row r="57" spans="2:20" x14ac:dyDescent="0.2">
      <c r="O57" t="s">
        <v>9</v>
      </c>
      <c r="P57">
        <v>947591.79978732171</v>
      </c>
    </row>
    <row r="58" spans="2:20" ht="17" thickBot="1" x14ac:dyDescent="0.25">
      <c r="O58" s="6" t="s">
        <v>10</v>
      </c>
      <c r="P58" s="6">
        <v>16</v>
      </c>
    </row>
    <row r="60" spans="2:20" ht="17" thickBot="1" x14ac:dyDescent="0.25">
      <c r="O60" t="s">
        <v>11</v>
      </c>
    </row>
    <row r="61" spans="2:20" x14ac:dyDescent="0.2">
      <c r="B61" s="29"/>
      <c r="C61" s="29"/>
      <c r="D61" s="29"/>
      <c r="E61" s="29"/>
      <c r="F61" s="29"/>
      <c r="G61" s="29"/>
      <c r="O61" s="7"/>
      <c r="P61" s="7" t="s">
        <v>12</v>
      </c>
      <c r="Q61" s="7" t="s">
        <v>13</v>
      </c>
      <c r="R61" s="7" t="s">
        <v>14</v>
      </c>
      <c r="S61" s="7" t="s">
        <v>15</v>
      </c>
      <c r="T61" s="7" t="s">
        <v>16</v>
      </c>
    </row>
    <row r="62" spans="2:20" x14ac:dyDescent="0.2">
      <c r="O62" t="s">
        <v>17</v>
      </c>
      <c r="P62">
        <v>9</v>
      </c>
      <c r="Q62">
        <v>4018422952819.6436</v>
      </c>
      <c r="R62">
        <v>446491439202.18262</v>
      </c>
      <c r="S62">
        <v>0.49724514193030112</v>
      </c>
      <c r="T62">
        <v>0.83370570623977702</v>
      </c>
    </row>
    <row r="63" spans="2:20" x14ac:dyDescent="0.2">
      <c r="O63" t="s">
        <v>18</v>
      </c>
      <c r="P63">
        <v>6</v>
      </c>
      <c r="Q63">
        <v>5387581314145.0537</v>
      </c>
      <c r="R63">
        <v>897930219024.17566</v>
      </c>
    </row>
    <row r="64" spans="2:20" ht="17" thickBot="1" x14ac:dyDescent="0.25">
      <c r="O64" s="6" t="s">
        <v>19</v>
      </c>
      <c r="P64" s="6">
        <v>15</v>
      </c>
      <c r="Q64" s="6">
        <v>9406004266964.6973</v>
      </c>
      <c r="R64" s="6"/>
      <c r="S64" s="6"/>
      <c r="T64" s="6"/>
    </row>
    <row r="65" spans="1:24" ht="17" thickBot="1" x14ac:dyDescent="0.25"/>
    <row r="66" spans="1:24" x14ac:dyDescent="0.2">
      <c r="B66" s="29"/>
      <c r="C66" s="29"/>
      <c r="D66" s="29"/>
      <c r="E66" s="29"/>
      <c r="F66" s="29"/>
      <c r="G66" s="29"/>
      <c r="H66" s="29"/>
      <c r="I66" s="29"/>
      <c r="J66" s="29"/>
      <c r="O66" s="7"/>
      <c r="P66" s="7" t="s">
        <v>20</v>
      </c>
      <c r="Q66" s="7" t="s">
        <v>9</v>
      </c>
      <c r="R66" s="7" t="s">
        <v>21</v>
      </c>
      <c r="S66" s="7" t="s">
        <v>22</v>
      </c>
      <c r="T66" s="7" t="s">
        <v>23</v>
      </c>
      <c r="U66" s="7" t="s">
        <v>24</v>
      </c>
      <c r="V66" s="7" t="s">
        <v>25</v>
      </c>
      <c r="W66" s="7" t="s">
        <v>26</v>
      </c>
    </row>
    <row r="67" spans="1:24" x14ac:dyDescent="0.2">
      <c r="O67" t="s">
        <v>27</v>
      </c>
      <c r="P67">
        <v>-420929483.13970768</v>
      </c>
      <c r="Q67">
        <v>704191671.71143973</v>
      </c>
      <c r="R67">
        <v>-0.59774845407742072</v>
      </c>
      <c r="S67">
        <v>0.57186283158316886</v>
      </c>
      <c r="T67">
        <v>-2144024430.1280174</v>
      </c>
      <c r="U67">
        <v>1302165463.8486021</v>
      </c>
      <c r="V67">
        <v>-2144024430.1280174</v>
      </c>
      <c r="W67">
        <v>1302165463.8486021</v>
      </c>
    </row>
    <row r="68" spans="1:24" x14ac:dyDescent="0.2">
      <c r="O68" t="s">
        <v>29</v>
      </c>
      <c r="P68">
        <v>-34041.593286299831</v>
      </c>
      <c r="Q68">
        <v>52577.601378641128</v>
      </c>
      <c r="R68">
        <v>-0.64745428459444188</v>
      </c>
      <c r="S68">
        <v>0.54130303897949894</v>
      </c>
      <c r="T68">
        <v>-162694.34920447291</v>
      </c>
      <c r="U68">
        <v>94611.162631873245</v>
      </c>
      <c r="V68">
        <v>-162694.34920447291</v>
      </c>
      <c r="W68">
        <v>94611.162631873245</v>
      </c>
    </row>
    <row r="69" spans="1:24" x14ac:dyDescent="0.2">
      <c r="O69" t="s">
        <v>2</v>
      </c>
      <c r="P69">
        <v>5978508.7323028846</v>
      </c>
      <c r="Q69">
        <v>14031267.134390645</v>
      </c>
      <c r="R69">
        <v>0.42608473454614487</v>
      </c>
      <c r="S69">
        <v>0.68490800180326783</v>
      </c>
      <c r="T69">
        <v>-28354765.105418503</v>
      </c>
      <c r="U69">
        <v>40311782.570024274</v>
      </c>
      <c r="V69">
        <v>-28354765.105418503</v>
      </c>
      <c r="W69">
        <v>40311782.570024274</v>
      </c>
    </row>
    <row r="70" spans="1:24" x14ac:dyDescent="0.2">
      <c r="O70" t="s">
        <v>32</v>
      </c>
      <c r="P70">
        <v>9997783.441659566</v>
      </c>
      <c r="Q70">
        <v>10661002.537016826</v>
      </c>
      <c r="R70">
        <v>0.93779017563738032</v>
      </c>
      <c r="S70">
        <v>0.38454913307526672</v>
      </c>
      <c r="T70">
        <v>-16088750.011253493</v>
      </c>
      <c r="U70">
        <v>36084316.894572623</v>
      </c>
      <c r="V70">
        <v>-16088750.011253493</v>
      </c>
      <c r="W70">
        <v>36084316.894572623</v>
      </c>
    </row>
    <row r="71" spans="1:24" x14ac:dyDescent="0.2">
      <c r="O71" t="s">
        <v>67</v>
      </c>
      <c r="P71">
        <v>-0.47429479503378186</v>
      </c>
      <c r="Q71">
        <v>0.75371462229630304</v>
      </c>
      <c r="R71">
        <v>-0.62927636137504228</v>
      </c>
      <c r="S71">
        <v>0.55235867933709115</v>
      </c>
      <c r="T71">
        <v>-2.3185680367118602</v>
      </c>
      <c r="U71">
        <v>1.3699784466442966</v>
      </c>
      <c r="V71">
        <v>-2.3185680367118602</v>
      </c>
      <c r="W71">
        <v>1.3699784466442966</v>
      </c>
    </row>
    <row r="72" spans="1:24" x14ac:dyDescent="0.2">
      <c r="O72" t="s">
        <v>68</v>
      </c>
      <c r="P72">
        <v>-17929.857312670665</v>
      </c>
      <c r="Q72">
        <v>74983.086766992928</v>
      </c>
      <c r="R72">
        <v>-0.23911868777004353</v>
      </c>
      <c r="S72">
        <v>0.81897201363971761</v>
      </c>
      <c r="T72">
        <v>-201406.86095825722</v>
      </c>
      <c r="U72">
        <v>165547.14633291587</v>
      </c>
      <c r="V72">
        <v>-201406.86095825722</v>
      </c>
      <c r="W72">
        <v>165547.14633291587</v>
      </c>
    </row>
    <row r="73" spans="1:24" x14ac:dyDescent="0.2">
      <c r="O73" t="s">
        <v>69</v>
      </c>
      <c r="P73">
        <v>19671.826444855269</v>
      </c>
      <c r="Q73">
        <v>26786.494514731239</v>
      </c>
      <c r="R73">
        <v>0.73439346212460699</v>
      </c>
      <c r="S73">
        <v>0.49040231874045059</v>
      </c>
      <c r="T73">
        <v>-45872.364433870323</v>
      </c>
      <c r="U73">
        <v>85216.017323580862</v>
      </c>
      <c r="V73">
        <v>-45872.364433870323</v>
      </c>
      <c r="W73">
        <v>85216.017323580862</v>
      </c>
    </row>
    <row r="74" spans="1:24" x14ac:dyDescent="0.2">
      <c r="O74" t="s">
        <v>70</v>
      </c>
      <c r="P74">
        <v>381.59311253615186</v>
      </c>
      <c r="Q74">
        <v>594.00918358808963</v>
      </c>
      <c r="R74">
        <v>0.64240271544482419</v>
      </c>
      <c r="S74">
        <v>0.54436128063820655</v>
      </c>
      <c r="T74">
        <v>-1071.8949984744927</v>
      </c>
      <c r="U74">
        <v>1835.0812235467963</v>
      </c>
      <c r="V74">
        <v>-1071.8949984744927</v>
      </c>
      <c r="W74">
        <v>1835.0812235467963</v>
      </c>
    </row>
    <row r="75" spans="1:24" x14ac:dyDescent="0.2">
      <c r="O75" t="s">
        <v>71</v>
      </c>
      <c r="P75">
        <v>-46.916246976907942</v>
      </c>
      <c r="Q75">
        <v>175.59606846322467</v>
      </c>
      <c r="R75">
        <v>-0.26718278710627097</v>
      </c>
      <c r="S75">
        <v>0.7982747614761041</v>
      </c>
      <c r="T75">
        <v>-476.58434791403585</v>
      </c>
      <c r="U75">
        <v>382.75185396021993</v>
      </c>
      <c r="V75">
        <v>-476.58434791403585</v>
      </c>
      <c r="W75">
        <v>382.75185396021993</v>
      </c>
    </row>
    <row r="76" spans="1:24" ht="17" thickBot="1" x14ac:dyDescent="0.25">
      <c r="O76" s="6" t="s">
        <v>72</v>
      </c>
      <c r="P76" s="6">
        <v>-106837.94373312755</v>
      </c>
      <c r="Q76" s="6">
        <v>114474.64645243176</v>
      </c>
      <c r="R76" s="6">
        <v>-0.93328913470392316</v>
      </c>
      <c r="S76" s="6">
        <v>0.38668838409285655</v>
      </c>
      <c r="T76" s="6">
        <v>-386947.31279321329</v>
      </c>
      <c r="U76" s="6">
        <v>173271.42532695818</v>
      </c>
      <c r="V76" s="6">
        <v>-386947.31279321329</v>
      </c>
      <c r="W76" s="6">
        <v>173271.42532695818</v>
      </c>
    </row>
    <row r="79" spans="1:24" x14ac:dyDescent="0.2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X79" s="85"/>
    </row>
    <row r="83" spans="2:21" x14ac:dyDescent="0.2">
      <c r="B83" s="8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spans="2:21" x14ac:dyDescent="0.2">
      <c r="B84" s="87"/>
      <c r="C84" s="23"/>
      <c r="D84" s="24"/>
      <c r="E84" s="24"/>
      <c r="F84" s="25"/>
      <c r="G84" s="37"/>
      <c r="H84" s="37"/>
      <c r="I84" s="25"/>
    </row>
    <row r="85" spans="2:21" x14ac:dyDescent="0.2">
      <c r="B85" s="87"/>
      <c r="C85" s="23"/>
      <c r="D85" s="24"/>
      <c r="E85" s="24"/>
      <c r="F85" s="25"/>
      <c r="G85" s="37"/>
      <c r="H85" s="37"/>
      <c r="I85" s="25"/>
    </row>
    <row r="86" spans="2:21" x14ac:dyDescent="0.2">
      <c r="B86" s="87"/>
      <c r="C86" s="23"/>
      <c r="D86" s="24"/>
      <c r="E86" s="24"/>
      <c r="F86" s="25"/>
      <c r="G86" s="37"/>
      <c r="H86" s="37"/>
      <c r="I86" s="25"/>
    </row>
    <row r="87" spans="2:21" x14ac:dyDescent="0.2">
      <c r="B87" s="87"/>
      <c r="C87" s="23"/>
      <c r="D87" s="24"/>
      <c r="E87" s="24"/>
      <c r="F87" s="26"/>
      <c r="G87" s="37"/>
      <c r="H87" s="37"/>
      <c r="I87" s="25"/>
      <c r="P87" s="28"/>
      <c r="Q87" s="28"/>
    </row>
    <row r="88" spans="2:21" x14ac:dyDescent="0.2">
      <c r="B88" s="87"/>
      <c r="C88" s="23"/>
      <c r="D88" s="24"/>
      <c r="E88" s="24"/>
      <c r="F88" s="26"/>
      <c r="G88" s="37"/>
      <c r="H88" s="37"/>
      <c r="I88" s="25"/>
    </row>
    <row r="89" spans="2:21" x14ac:dyDescent="0.2">
      <c r="B89" s="87"/>
      <c r="C89" s="23"/>
      <c r="D89" s="24"/>
      <c r="E89" s="24"/>
      <c r="F89" s="26"/>
      <c r="G89" s="37"/>
      <c r="H89" s="37"/>
      <c r="I89" s="25"/>
    </row>
    <row r="90" spans="2:21" x14ac:dyDescent="0.2">
      <c r="B90" s="87"/>
      <c r="C90" s="23"/>
      <c r="D90" s="24"/>
      <c r="E90" s="24"/>
      <c r="F90" s="26"/>
      <c r="G90" s="37"/>
      <c r="H90" s="37"/>
      <c r="I90" s="25"/>
    </row>
    <row r="91" spans="2:21" x14ac:dyDescent="0.2">
      <c r="B91" s="87"/>
      <c r="C91" s="23"/>
      <c r="D91" s="24"/>
      <c r="E91" s="24"/>
      <c r="F91" s="26"/>
      <c r="G91" s="37"/>
      <c r="H91" s="37"/>
      <c r="I91" s="25"/>
    </row>
    <row r="92" spans="2:21" x14ac:dyDescent="0.2">
      <c r="B92" s="87"/>
      <c r="C92" s="23"/>
      <c r="D92" s="24"/>
      <c r="E92" s="24"/>
      <c r="F92" s="26"/>
      <c r="G92" s="37"/>
      <c r="H92" s="37"/>
      <c r="I92" s="25"/>
    </row>
    <row r="93" spans="2:21" x14ac:dyDescent="0.2">
      <c r="B93" s="87"/>
      <c r="C93" s="23"/>
      <c r="D93" s="24"/>
      <c r="E93" s="24"/>
      <c r="F93" s="26"/>
      <c r="G93" s="37"/>
      <c r="H93" s="37"/>
      <c r="I93" s="25"/>
    </row>
    <row r="94" spans="2:21" x14ac:dyDescent="0.2">
      <c r="B94" s="87"/>
      <c r="C94" s="23"/>
      <c r="D94" s="24"/>
      <c r="E94" s="24"/>
      <c r="F94" s="26"/>
      <c r="G94" s="37"/>
      <c r="H94" s="37"/>
      <c r="I94" s="25"/>
    </row>
    <row r="95" spans="2:21" x14ac:dyDescent="0.2">
      <c r="B95" s="87"/>
      <c r="C95" s="23"/>
      <c r="D95" s="24"/>
      <c r="E95" s="24"/>
      <c r="F95" s="26"/>
      <c r="G95" s="37"/>
      <c r="H95" s="37"/>
      <c r="I95" s="25"/>
      <c r="P95" s="29"/>
      <c r="Q95" s="29"/>
      <c r="R95" s="29"/>
      <c r="S95" s="29"/>
      <c r="T95" s="29"/>
      <c r="U95" s="29"/>
    </row>
    <row r="96" spans="2:21" x14ac:dyDescent="0.2">
      <c r="B96" s="87"/>
      <c r="C96" s="23"/>
      <c r="D96" s="24"/>
      <c r="E96" s="24"/>
      <c r="F96" s="26"/>
      <c r="G96" s="37"/>
      <c r="H96" s="37"/>
      <c r="I96" s="25"/>
    </row>
    <row r="97" spans="2:24" x14ac:dyDescent="0.2">
      <c r="B97" s="87"/>
      <c r="C97" s="23"/>
      <c r="D97" s="24"/>
      <c r="E97" s="24"/>
      <c r="F97" s="26"/>
      <c r="G97" s="37"/>
      <c r="H97" s="37"/>
      <c r="I97" s="25"/>
    </row>
    <row r="98" spans="2:24" x14ac:dyDescent="0.2">
      <c r="B98" s="87"/>
      <c r="C98" s="23"/>
      <c r="D98" s="24"/>
      <c r="E98" s="24"/>
      <c r="F98" s="26"/>
      <c r="G98" s="37"/>
      <c r="H98" s="37"/>
      <c r="I98" s="25"/>
    </row>
    <row r="99" spans="2:24" x14ac:dyDescent="0.2">
      <c r="B99" s="87"/>
      <c r="C99" s="23"/>
      <c r="D99" s="24"/>
      <c r="E99" s="24"/>
      <c r="F99" s="26"/>
      <c r="G99" s="37"/>
      <c r="H99" s="37"/>
      <c r="I99" s="25"/>
    </row>
    <row r="100" spans="2:24" x14ac:dyDescent="0.2">
      <c r="P100" s="29"/>
      <c r="Q100" s="29"/>
      <c r="R100" s="29"/>
      <c r="S100" s="29"/>
      <c r="T100" s="29"/>
      <c r="U100" s="29"/>
      <c r="V100" s="29"/>
      <c r="W100" s="29"/>
      <c r="X100" s="29"/>
    </row>
    <row r="110" spans="2:24" x14ac:dyDescent="0.2">
      <c r="P110" s="29"/>
      <c r="Q110" s="29"/>
      <c r="R110" s="29"/>
    </row>
    <row r="114" spans="1:9" x14ac:dyDescent="0.2">
      <c r="A114" s="28"/>
      <c r="B114" s="28"/>
    </row>
    <row r="122" spans="1:9" x14ac:dyDescent="0.2">
      <c r="A122" s="29"/>
      <c r="B122" s="29"/>
      <c r="C122" s="29"/>
      <c r="D122" s="29"/>
      <c r="E122" s="29"/>
      <c r="F122" s="29"/>
    </row>
    <row r="127" spans="1:9" x14ac:dyDescent="0.2">
      <c r="A127" s="29"/>
      <c r="B127" s="29"/>
      <c r="C127" s="29"/>
      <c r="D127" s="29"/>
      <c r="E127" s="29"/>
      <c r="F127" s="29"/>
      <c r="G127" s="29"/>
      <c r="H127" s="29"/>
      <c r="I127" s="29"/>
    </row>
    <row r="140" spans="1:3" x14ac:dyDescent="0.2">
      <c r="B140" s="84"/>
      <c r="C140" s="84"/>
    </row>
    <row r="144" spans="1:3" x14ac:dyDescent="0.2">
      <c r="A144" s="28"/>
      <c r="B144" s="28"/>
    </row>
    <row r="148" spans="1:12" x14ac:dyDescent="0.2">
      <c r="L148" s="37"/>
    </row>
    <row r="152" spans="1:12" x14ac:dyDescent="0.2">
      <c r="A152" s="29"/>
      <c r="B152" s="29"/>
      <c r="C152" s="29"/>
      <c r="D152" s="29"/>
      <c r="E152" s="29"/>
      <c r="F152" s="29"/>
    </row>
    <row r="157" spans="1:12" x14ac:dyDescent="0.2">
      <c r="A157" s="29"/>
      <c r="B157" s="29"/>
      <c r="C157" s="29"/>
      <c r="D157" s="29"/>
      <c r="E157" s="29"/>
      <c r="F157" s="29"/>
      <c r="G157" s="29"/>
      <c r="H157" s="29"/>
      <c r="I157" s="29"/>
    </row>
    <row r="170" spans="2:17" x14ac:dyDescent="0.2">
      <c r="B170" s="8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</row>
    <row r="171" spans="2:17" x14ac:dyDescent="0.2">
      <c r="B171" s="87"/>
      <c r="C171" s="23"/>
      <c r="D171" s="24"/>
      <c r="E171" s="24"/>
      <c r="F171" s="25"/>
      <c r="G171" s="37"/>
      <c r="H171" s="37"/>
      <c r="I171" s="25"/>
    </row>
    <row r="172" spans="2:17" x14ac:dyDescent="0.2">
      <c r="B172" s="87"/>
      <c r="C172" s="23"/>
      <c r="D172" s="24"/>
      <c r="E172" s="24"/>
      <c r="F172" s="25"/>
      <c r="G172" s="37"/>
      <c r="H172" s="37"/>
      <c r="I172" s="25"/>
    </row>
    <row r="173" spans="2:17" x14ac:dyDescent="0.2">
      <c r="B173" s="87"/>
      <c r="C173" s="23"/>
      <c r="D173" s="24"/>
      <c r="E173" s="24"/>
      <c r="F173" s="25"/>
      <c r="G173" s="37"/>
      <c r="H173" s="37"/>
      <c r="I173" s="25"/>
    </row>
    <row r="174" spans="2:17" x14ac:dyDescent="0.2">
      <c r="B174" s="87"/>
      <c r="C174" s="23"/>
      <c r="D174" s="24"/>
      <c r="E174" s="24"/>
      <c r="F174" s="26"/>
      <c r="G174" s="37"/>
      <c r="H174" s="37"/>
      <c r="I174" s="25"/>
    </row>
    <row r="175" spans="2:17" x14ac:dyDescent="0.2">
      <c r="B175" s="87"/>
      <c r="C175" s="23"/>
      <c r="D175" s="24"/>
      <c r="E175" s="24"/>
      <c r="F175" s="26"/>
      <c r="G175" s="37"/>
      <c r="H175" s="37"/>
      <c r="I175" s="25"/>
      <c r="P175" s="28"/>
      <c r="Q175" s="28"/>
    </row>
    <row r="176" spans="2:17" x14ac:dyDescent="0.2">
      <c r="B176" s="87"/>
      <c r="C176" s="23"/>
      <c r="D176" s="24"/>
      <c r="E176" s="24"/>
      <c r="F176" s="26"/>
      <c r="G176" s="37"/>
      <c r="H176" s="37"/>
      <c r="I176" s="25"/>
    </row>
    <row r="177" spans="2:24" x14ac:dyDescent="0.2">
      <c r="B177" s="87"/>
      <c r="C177" s="23"/>
      <c r="D177" s="24"/>
      <c r="E177" s="24"/>
      <c r="F177" s="26"/>
      <c r="G177" s="37"/>
      <c r="H177" s="37"/>
      <c r="I177" s="25"/>
    </row>
    <row r="178" spans="2:24" x14ac:dyDescent="0.2">
      <c r="B178" s="87"/>
      <c r="C178" s="23"/>
      <c r="D178" s="24"/>
      <c r="E178" s="24"/>
      <c r="F178" s="26"/>
      <c r="G178" s="37"/>
      <c r="H178" s="37"/>
      <c r="I178" s="25"/>
    </row>
    <row r="179" spans="2:24" x14ac:dyDescent="0.2">
      <c r="B179" s="87"/>
      <c r="C179" s="23"/>
      <c r="D179" s="24"/>
      <c r="E179" s="24"/>
      <c r="F179" s="26"/>
      <c r="G179" s="37"/>
      <c r="H179" s="37"/>
      <c r="I179" s="25"/>
    </row>
    <row r="180" spans="2:24" x14ac:dyDescent="0.2">
      <c r="B180" s="87"/>
      <c r="C180" s="23"/>
      <c r="D180" s="24"/>
      <c r="E180" s="24"/>
      <c r="F180" s="26"/>
      <c r="G180" s="37"/>
      <c r="H180" s="37"/>
      <c r="I180" s="25"/>
    </row>
    <row r="181" spans="2:24" x14ac:dyDescent="0.2">
      <c r="B181" s="87"/>
      <c r="C181" s="23"/>
      <c r="D181" s="24"/>
      <c r="E181" s="24"/>
      <c r="F181" s="26"/>
      <c r="G181" s="37"/>
      <c r="H181" s="37"/>
      <c r="I181" s="25"/>
    </row>
    <row r="182" spans="2:24" x14ac:dyDescent="0.2">
      <c r="B182" s="87"/>
      <c r="C182" s="23"/>
      <c r="D182" s="24"/>
      <c r="E182" s="24"/>
      <c r="F182" s="26"/>
      <c r="G182" s="37"/>
      <c r="H182" s="37"/>
      <c r="I182" s="25"/>
    </row>
    <row r="183" spans="2:24" x14ac:dyDescent="0.2">
      <c r="B183" s="87"/>
      <c r="C183" s="23"/>
      <c r="D183" s="24"/>
      <c r="E183" s="24"/>
      <c r="F183" s="26"/>
      <c r="G183" s="37"/>
      <c r="H183" s="37"/>
      <c r="I183" s="25"/>
      <c r="P183" s="29"/>
      <c r="Q183" s="29"/>
      <c r="R183" s="29"/>
      <c r="S183" s="29"/>
      <c r="T183" s="29"/>
      <c r="U183" s="29"/>
    </row>
    <row r="184" spans="2:24" x14ac:dyDescent="0.2">
      <c r="B184" s="87"/>
      <c r="C184" s="23"/>
      <c r="D184" s="24"/>
      <c r="E184" s="24"/>
      <c r="F184" s="26"/>
      <c r="G184" s="37"/>
      <c r="H184" s="37"/>
      <c r="I184" s="25"/>
    </row>
    <row r="185" spans="2:24" x14ac:dyDescent="0.2">
      <c r="B185" s="87"/>
      <c r="C185" s="23"/>
      <c r="D185" s="24"/>
      <c r="E185" s="24"/>
      <c r="F185" s="26"/>
      <c r="G185" s="37"/>
      <c r="H185" s="37"/>
      <c r="I185" s="25"/>
    </row>
    <row r="186" spans="2:24" x14ac:dyDescent="0.2">
      <c r="B186" s="87"/>
      <c r="C186" s="23"/>
      <c r="D186" s="24"/>
      <c r="E186" s="24"/>
      <c r="F186" s="26"/>
      <c r="G186" s="37"/>
      <c r="H186" s="37"/>
      <c r="I186" s="25"/>
    </row>
    <row r="188" spans="2:24" x14ac:dyDescent="0.2">
      <c r="P188" s="29"/>
      <c r="Q188" s="29"/>
      <c r="R188" s="29"/>
      <c r="S188" s="29"/>
      <c r="T188" s="29"/>
      <c r="U188" s="29"/>
      <c r="V188" s="29"/>
      <c r="W188" s="29"/>
      <c r="X188" s="29"/>
    </row>
    <row r="198" spans="16:18" x14ac:dyDescent="0.2">
      <c r="P198" s="29"/>
      <c r="Q198" s="29"/>
      <c r="R198" s="29"/>
    </row>
    <row r="220" spans="16:17" x14ac:dyDescent="0.2">
      <c r="P220" s="28"/>
      <c r="Q220" s="28"/>
    </row>
    <row r="228" spans="16:24" x14ac:dyDescent="0.2">
      <c r="P228" s="29"/>
      <c r="Q228" s="29"/>
      <c r="R228" s="29"/>
      <c r="S228" s="29"/>
      <c r="T228" s="29"/>
      <c r="U228" s="29"/>
    </row>
    <row r="233" spans="16:24" x14ac:dyDescent="0.2">
      <c r="P233" s="29"/>
      <c r="Q233" s="29"/>
      <c r="R233" s="29"/>
      <c r="S233" s="29"/>
      <c r="T233" s="29"/>
      <c r="U233" s="29"/>
      <c r="V233" s="29"/>
      <c r="W233" s="29"/>
      <c r="X233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O28"/>
  <sheetViews>
    <sheetView zoomScale="113" workbookViewId="0">
      <selection activeCell="O24" sqref="O24"/>
    </sheetView>
  </sheetViews>
  <sheetFormatPr baseColWidth="10" defaultColWidth="11" defaultRowHeight="16" x14ac:dyDescent="0.2"/>
  <cols>
    <col min="9" max="9" width="11.6640625" bestFit="1" customWidth="1"/>
  </cols>
  <sheetData>
    <row r="3" spans="2:15" ht="17" thickBot="1" x14ac:dyDescent="0.25"/>
    <row r="4" spans="2:15" ht="86" thickBot="1" x14ac:dyDescent="0.25">
      <c r="B4" s="30" t="s">
        <v>0</v>
      </c>
      <c r="C4" s="31" t="s">
        <v>1</v>
      </c>
      <c r="D4" s="32" t="s">
        <v>29</v>
      </c>
      <c r="E4" s="32" t="s">
        <v>154</v>
      </c>
      <c r="F4" s="32" t="s">
        <v>32</v>
      </c>
      <c r="G4" s="32" t="s">
        <v>78</v>
      </c>
      <c r="H4" s="32" t="s">
        <v>79</v>
      </c>
      <c r="I4" s="33" t="s">
        <v>80</v>
      </c>
    </row>
    <row r="5" spans="2:15" x14ac:dyDescent="0.2">
      <c r="B5" s="34">
        <v>2008</v>
      </c>
      <c r="C5" s="10">
        <v>13069</v>
      </c>
      <c r="D5" s="17">
        <v>3158.48</v>
      </c>
      <c r="E5" s="17">
        <v>104.2</v>
      </c>
      <c r="F5" s="96">
        <v>37.590000000000003</v>
      </c>
      <c r="G5" s="97">
        <f>$O$8+$N$8*D5+$M$8*E5+$L$8*F5</f>
        <v>13662.282457459225</v>
      </c>
      <c r="H5" s="106">
        <f>C5-G5</f>
        <v>-593.28245745922504</v>
      </c>
      <c r="I5" s="108" t="s">
        <v>81</v>
      </c>
    </row>
    <row r="6" spans="2:15" x14ac:dyDescent="0.2">
      <c r="B6" s="35">
        <v>2009</v>
      </c>
      <c r="C6" s="16">
        <v>13305</v>
      </c>
      <c r="D6" s="4">
        <v>3315.38</v>
      </c>
      <c r="E6" s="4">
        <v>103.5</v>
      </c>
      <c r="F6" s="89">
        <v>35.75</v>
      </c>
      <c r="G6" s="90">
        <f t="shared" ref="G6:G20" si="0">$O$8+$N$8*D6+$M$8*E6+$L$8*F6</f>
        <v>13954.110522425115</v>
      </c>
      <c r="H6" s="91">
        <f t="shared" ref="H6:H20" si="1">C6-G6</f>
        <v>-649.11052242511505</v>
      </c>
      <c r="I6" s="93">
        <f>(H6-H5)^2</f>
        <v>3116.7728378356351</v>
      </c>
      <c r="L6" t="s">
        <v>40</v>
      </c>
    </row>
    <row r="7" spans="2:15" x14ac:dyDescent="0.2">
      <c r="B7" s="35">
        <v>2010</v>
      </c>
      <c r="C7" s="16">
        <v>14408</v>
      </c>
      <c r="D7" s="4">
        <v>3435</v>
      </c>
      <c r="E7" s="4">
        <v>102.6</v>
      </c>
      <c r="F7" s="89">
        <v>34.270000000000003</v>
      </c>
      <c r="G7" s="90">
        <f t="shared" si="0"/>
        <v>14306.792716165206</v>
      </c>
      <c r="H7" s="91">
        <f t="shared" si="1"/>
        <v>101.207283834794</v>
      </c>
      <c r="I7" s="93">
        <f t="shared" ref="I7:I20" si="2">(H7-H6)^2</f>
        <v>562976.81039068243</v>
      </c>
      <c r="L7" t="s">
        <v>82</v>
      </c>
      <c r="M7" t="s">
        <v>39</v>
      </c>
      <c r="N7" t="s">
        <v>38</v>
      </c>
      <c r="O7" t="s">
        <v>41</v>
      </c>
    </row>
    <row r="8" spans="2:15" x14ac:dyDescent="0.2">
      <c r="B8" s="35">
        <v>2011</v>
      </c>
      <c r="C8" s="16">
        <v>13886</v>
      </c>
      <c r="D8" s="4">
        <v>3625.21</v>
      </c>
      <c r="E8" s="4">
        <v>104.3</v>
      </c>
      <c r="F8" s="92">
        <v>34.5</v>
      </c>
      <c r="G8" s="90">
        <f t="shared" si="0"/>
        <v>14159.436955548104</v>
      </c>
      <c r="H8" s="91">
        <f t="shared" si="1"/>
        <v>-273.43695554810438</v>
      </c>
      <c r="I8" s="93">
        <f t="shared" si="2"/>
        <v>140358.30610279046</v>
      </c>
      <c r="L8" cm="1">
        <f t="array" ref="L8:O12">LINEST(C5:C20,D5:F20,1,1)</f>
        <v>210.36346164828618</v>
      </c>
      <c r="M8">
        <v>-399.73409811594229</v>
      </c>
      <c r="N8">
        <v>2.5435498133689332</v>
      </c>
      <c r="O8">
        <v>39373.261743251824</v>
      </c>
    </row>
    <row r="9" spans="2:15" x14ac:dyDescent="0.2">
      <c r="B9" s="35">
        <v>2012</v>
      </c>
      <c r="C9" s="16">
        <v>15137</v>
      </c>
      <c r="D9" s="4">
        <v>3744.38</v>
      </c>
      <c r="E9" s="4">
        <v>103.7</v>
      </c>
      <c r="F9" s="92">
        <v>33.6</v>
      </c>
      <c r="G9" s="90">
        <f t="shared" si="0"/>
        <v>14513.065130193394</v>
      </c>
      <c r="H9" s="91">
        <f t="shared" si="1"/>
        <v>623.934869806606</v>
      </c>
      <c r="I9" s="93">
        <f t="shared" si="2"/>
        <v>805276.1929404448</v>
      </c>
      <c r="L9">
        <v>59.699402963317617</v>
      </c>
      <c r="M9">
        <v>74.010587853682225</v>
      </c>
      <c r="N9">
        <v>0.23409778224668468</v>
      </c>
      <c r="O9">
        <v>6984.2757063156996</v>
      </c>
    </row>
    <row r="10" spans="2:15" x14ac:dyDescent="0.2">
      <c r="B10" s="35">
        <v>2013</v>
      </c>
      <c r="C10" s="16">
        <v>15807</v>
      </c>
      <c r="D10" s="4">
        <v>3877.43</v>
      </c>
      <c r="E10" s="4">
        <v>100.9</v>
      </c>
      <c r="F10" s="92">
        <v>33.799999999999997</v>
      </c>
      <c r="G10" s="90">
        <f t="shared" si="0"/>
        <v>16012.812599916419</v>
      </c>
      <c r="H10" s="91">
        <f t="shared" si="1"/>
        <v>-205.81259991641855</v>
      </c>
      <c r="I10" s="93">
        <f t="shared" si="2"/>
        <v>688480.86351176153</v>
      </c>
      <c r="L10">
        <v>0.92732997152477903</v>
      </c>
      <c r="M10">
        <v>834.41062437517689</v>
      </c>
      <c r="N10" t="e">
        <v>#N/A</v>
      </c>
      <c r="O10" t="e">
        <v>#N/A</v>
      </c>
    </row>
    <row r="11" spans="2:15" x14ac:dyDescent="0.2">
      <c r="B11" s="35">
        <v>2014</v>
      </c>
      <c r="C11" s="16">
        <v>17325</v>
      </c>
      <c r="D11" s="4">
        <v>4003.99</v>
      </c>
      <c r="E11" s="4">
        <v>100</v>
      </c>
      <c r="F11" s="92">
        <v>34.799999999999997</v>
      </c>
      <c r="G11" s="90">
        <f t="shared" si="0"/>
        <v>16904.848414249023</v>
      </c>
      <c r="H11" s="91">
        <f t="shared" si="1"/>
        <v>420.15158575097666</v>
      </c>
      <c r="I11" s="93">
        <f t="shared" si="2"/>
        <v>391831.16173824522</v>
      </c>
      <c r="L11">
        <v>51.043325067141332</v>
      </c>
      <c r="M11">
        <v>12</v>
      </c>
      <c r="N11" t="e">
        <v>#N/A</v>
      </c>
      <c r="O11" t="e">
        <v>#N/A</v>
      </c>
    </row>
    <row r="12" spans="2:15" x14ac:dyDescent="0.2">
      <c r="B12" s="35">
        <v>2015</v>
      </c>
      <c r="C12" s="16">
        <v>18611</v>
      </c>
      <c r="D12" s="4">
        <v>4150.8599999999997</v>
      </c>
      <c r="E12" s="4">
        <v>99.1</v>
      </c>
      <c r="F12" s="92">
        <v>36.700000000000003</v>
      </c>
      <c r="G12" s="90">
        <f t="shared" si="0"/>
        <v>18037.870840774616</v>
      </c>
      <c r="H12" s="91">
        <f t="shared" si="1"/>
        <v>573.12915922538377</v>
      </c>
      <c r="I12" s="93">
        <f t="shared" si="2"/>
        <v>23402.137986117625</v>
      </c>
      <c r="L12">
        <v>106615380.85665792</v>
      </c>
      <c r="M12">
        <v>8354893.0808420712</v>
      </c>
      <c r="N12" t="e">
        <v>#N/A</v>
      </c>
      <c r="O12" t="e">
        <v>#N/A</v>
      </c>
    </row>
    <row r="13" spans="2:15" x14ac:dyDescent="0.2">
      <c r="B13" s="35">
        <v>2016</v>
      </c>
      <c r="C13" s="16">
        <v>19623</v>
      </c>
      <c r="D13" s="4">
        <v>4290.5200000000004</v>
      </c>
      <c r="E13" s="4">
        <v>99.4</v>
      </c>
      <c r="F13" s="92">
        <v>38.1</v>
      </c>
      <c r="G13" s="90">
        <f t="shared" si="0"/>
        <v>18567.691624582541</v>
      </c>
      <c r="H13" s="91">
        <f t="shared" si="1"/>
        <v>1055.3083754174586</v>
      </c>
      <c r="I13" s="93">
        <f t="shared" si="2"/>
        <v>232496.79652760364</v>
      </c>
    </row>
    <row r="14" spans="2:15" x14ac:dyDescent="0.2">
      <c r="B14" s="35">
        <v>2017</v>
      </c>
      <c r="C14" s="16">
        <v>19125</v>
      </c>
      <c r="D14" s="4">
        <v>4527.8900000000003</v>
      </c>
      <c r="E14" s="4">
        <v>102</v>
      </c>
      <c r="F14" s="92">
        <v>39.299999999999997</v>
      </c>
      <c r="G14" s="90">
        <f t="shared" si="0"/>
        <v>18384.581542658416</v>
      </c>
      <c r="H14" s="91">
        <f t="shared" si="1"/>
        <v>740.41845734158414</v>
      </c>
      <c r="I14" s="93">
        <f t="shared" si="2"/>
        <v>99155.660505830921</v>
      </c>
    </row>
    <row r="15" spans="2:15" x14ac:dyDescent="0.2">
      <c r="B15" s="35">
        <v>2018</v>
      </c>
      <c r="C15" s="16">
        <v>17700</v>
      </c>
      <c r="D15" s="4">
        <v>4834.76</v>
      </c>
      <c r="E15" s="4">
        <v>101.6</v>
      </c>
      <c r="F15" s="92">
        <v>40.1</v>
      </c>
      <c r="G15" s="90">
        <f t="shared" si="0"/>
        <v>19493.305082451952</v>
      </c>
      <c r="H15" s="91">
        <f t="shared" si="1"/>
        <v>-1793.3050824519523</v>
      </c>
      <c r="I15" s="93">
        <f t="shared" si="2"/>
        <v>6419754.9761038888</v>
      </c>
    </row>
    <row r="16" spans="2:15" x14ac:dyDescent="0.2">
      <c r="B16" s="35">
        <v>2019</v>
      </c>
      <c r="C16" s="16">
        <v>20260</v>
      </c>
      <c r="D16" s="4">
        <v>5181.63</v>
      </c>
      <c r="E16" s="4">
        <v>102.3</v>
      </c>
      <c r="F16" s="92">
        <v>40.6</v>
      </c>
      <c r="G16" s="90">
        <f t="shared" si="0"/>
        <v>20200.954068358209</v>
      </c>
      <c r="H16" s="91">
        <f t="shared" si="1"/>
        <v>59.045931641790958</v>
      </c>
      <c r="I16" s="93">
        <f t="shared" si="2"/>
        <v>3431204.2794141192</v>
      </c>
      <c r="L16" s="80" t="s">
        <v>83</v>
      </c>
      <c r="M16" s="37">
        <f>I21/M12</f>
        <v>2.1855659690885694</v>
      </c>
      <c r="N16" s="9" t="s">
        <v>160</v>
      </c>
      <c r="O16" s="37">
        <f>4-M16</f>
        <v>1.8144340309114306</v>
      </c>
    </row>
    <row r="17" spans="2:13" x14ac:dyDescent="0.2">
      <c r="B17" s="35">
        <v>2020</v>
      </c>
      <c r="C17" s="16">
        <v>17778</v>
      </c>
      <c r="D17" s="4">
        <v>5523.32</v>
      </c>
      <c r="E17" s="4">
        <v>103.4</v>
      </c>
      <c r="F17" s="92">
        <v>26.8</v>
      </c>
      <c r="G17" s="90">
        <f t="shared" si="0"/>
        <v>17727.336325414359</v>
      </c>
      <c r="H17" s="91">
        <f t="shared" si="1"/>
        <v>50.663674585641274</v>
      </c>
      <c r="I17" s="93">
        <f t="shared" si="2"/>
        <v>70.262233355371151</v>
      </c>
      <c r="L17" s="80" t="s">
        <v>84</v>
      </c>
      <c r="M17">
        <v>0.05</v>
      </c>
    </row>
    <row r="18" spans="2:13" x14ac:dyDescent="0.2">
      <c r="B18" s="35">
        <v>2021</v>
      </c>
      <c r="C18" s="16">
        <v>18789</v>
      </c>
      <c r="D18" s="4">
        <v>6001.02</v>
      </c>
      <c r="E18" s="4">
        <v>105.1</v>
      </c>
      <c r="F18" s="92">
        <v>32.299999999999997</v>
      </c>
      <c r="G18" s="90">
        <f t="shared" si="0"/>
        <v>19419.841143529175</v>
      </c>
      <c r="H18" s="91">
        <f t="shared" si="1"/>
        <v>-630.84114352917459</v>
      </c>
      <c r="I18" s="93">
        <f t="shared" si="2"/>
        <v>464448.81711370824</v>
      </c>
      <c r="L18" s="80" t="s">
        <v>85</v>
      </c>
      <c r="M18">
        <v>16</v>
      </c>
    </row>
    <row r="19" spans="2:13" x14ac:dyDescent="0.2">
      <c r="B19" s="35">
        <v>2022</v>
      </c>
      <c r="C19" s="16">
        <v>20215</v>
      </c>
      <c r="D19" s="4">
        <v>6705.62</v>
      </c>
      <c r="E19" s="4">
        <v>114.4</v>
      </c>
      <c r="F19" s="92">
        <v>40.4</v>
      </c>
      <c r="G19" s="90">
        <f t="shared" si="0"/>
        <v>19198.443268901767</v>
      </c>
      <c r="H19" s="91">
        <f t="shared" si="1"/>
        <v>1016.5567310982333</v>
      </c>
      <c r="I19" s="93">
        <f t="shared" si="2"/>
        <v>2713919.7573269005</v>
      </c>
      <c r="L19" s="80" t="s">
        <v>86</v>
      </c>
      <c r="M19">
        <v>4</v>
      </c>
    </row>
    <row r="20" spans="2:13" ht="17" thickBot="1" x14ac:dyDescent="0.25">
      <c r="B20" s="36">
        <v>2023</v>
      </c>
      <c r="C20" s="21">
        <v>22187</v>
      </c>
      <c r="D20" s="5">
        <v>7595.3</v>
      </c>
      <c r="E20" s="5">
        <v>111.4</v>
      </c>
      <c r="F20" s="14">
        <v>40.5</v>
      </c>
      <c r="G20" s="94">
        <f t="shared" si="0"/>
        <v>22681.627307372495</v>
      </c>
      <c r="H20" s="107">
        <f t="shared" si="1"/>
        <v>-494.62730737249512</v>
      </c>
      <c r="I20" s="95">
        <f t="shared" si="2"/>
        <v>2283677.1981286998</v>
      </c>
      <c r="L20" s="80" t="s">
        <v>87</v>
      </c>
      <c r="M20">
        <v>0.86</v>
      </c>
    </row>
    <row r="21" spans="2:13" ht="17" thickBot="1" x14ac:dyDescent="0.25">
      <c r="H21" s="103" t="s">
        <v>88</v>
      </c>
      <c r="I21" s="105">
        <f>SUM(I6:I20)</f>
        <v>18260169.992861986</v>
      </c>
      <c r="L21" s="80" t="s">
        <v>89</v>
      </c>
      <c r="M21">
        <v>1.73</v>
      </c>
    </row>
    <row r="23" spans="2:13" x14ac:dyDescent="0.2">
      <c r="K23" s="27"/>
      <c r="L23" s="83" t="s">
        <v>90</v>
      </c>
      <c r="M23" s="27"/>
    </row>
    <row r="24" spans="2:13" x14ac:dyDescent="0.2">
      <c r="L24" s="81"/>
    </row>
    <row r="25" spans="2:13" x14ac:dyDescent="0.2">
      <c r="L25" s="82" t="s">
        <v>91</v>
      </c>
      <c r="M25">
        <f>1-(M16/2)</f>
        <v>-9.2782984544284686E-2</v>
      </c>
    </row>
    <row r="26" spans="2:13" x14ac:dyDescent="0.2">
      <c r="L26" s="81" t="s">
        <v>92</v>
      </c>
      <c r="M26">
        <f>SUMPRODUCT(H6:H20,H5:H19)/SQRT(SUMSQ(H5:H19)*SUMSQ(H6:H20))</f>
        <v>-0.13324969070187692</v>
      </c>
    </row>
    <row r="27" spans="2:13" x14ac:dyDescent="0.2">
      <c r="L27" s="81" t="s">
        <v>94</v>
      </c>
      <c r="M27">
        <f>SUMPRODUCT(H5:H19,H6:H20)/SUMSQ(H5:H19)</f>
        <v>-0.13236506548173596</v>
      </c>
    </row>
    <row r="28" spans="2:13" x14ac:dyDescent="0.2">
      <c r="L28" s="8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P69"/>
  <sheetViews>
    <sheetView workbookViewId="0">
      <selection activeCell="O13" sqref="O13"/>
    </sheetView>
  </sheetViews>
  <sheetFormatPr baseColWidth="10" defaultColWidth="11.5" defaultRowHeight="16" x14ac:dyDescent="0.2"/>
  <cols>
    <col min="7" max="7" width="13" bestFit="1" customWidth="1"/>
    <col min="8" max="8" width="11" bestFit="1" customWidth="1"/>
    <col min="9" max="9" width="14.33203125" bestFit="1" customWidth="1"/>
    <col min="10" max="10" width="17.83203125" customWidth="1"/>
  </cols>
  <sheetData>
    <row r="2" spans="2:16" ht="17" thickBot="1" x14ac:dyDescent="0.25"/>
    <row r="3" spans="2:16" ht="86" thickBot="1" x14ac:dyDescent="0.25">
      <c r="B3" s="30" t="s">
        <v>0</v>
      </c>
      <c r="C3" s="31" t="s">
        <v>1</v>
      </c>
      <c r="D3" s="32" t="s">
        <v>29</v>
      </c>
      <c r="E3" s="32" t="s">
        <v>154</v>
      </c>
      <c r="F3" s="32" t="s">
        <v>32</v>
      </c>
      <c r="G3" s="32" t="s">
        <v>95</v>
      </c>
      <c r="H3" s="32" t="s">
        <v>96</v>
      </c>
      <c r="I3" s="32" t="s">
        <v>97</v>
      </c>
      <c r="J3" s="33" t="s">
        <v>98</v>
      </c>
    </row>
    <row r="4" spans="2:16" x14ac:dyDescent="0.2">
      <c r="B4" s="34">
        <v>2008</v>
      </c>
      <c r="C4" s="10">
        <v>13069</v>
      </c>
      <c r="D4" s="17">
        <v>3158.48</v>
      </c>
      <c r="E4" s="17">
        <v>104.2</v>
      </c>
      <c r="F4" s="96">
        <v>37.590000000000003</v>
      </c>
      <c r="G4" s="97">
        <f>D54</f>
        <v>-593.28245745922504</v>
      </c>
      <c r="H4" s="97">
        <f>G4^2</f>
        <v>351984.07432885718</v>
      </c>
      <c r="I4" s="97">
        <f>G4^3</f>
        <v>-208825976.60433492</v>
      </c>
      <c r="J4" s="98">
        <f>G4^4</f>
        <v>123892788581.14246</v>
      </c>
    </row>
    <row r="5" spans="2:16" x14ac:dyDescent="0.2">
      <c r="B5" s="35">
        <v>2009</v>
      </c>
      <c r="C5" s="16">
        <v>13305</v>
      </c>
      <c r="D5" s="4">
        <v>3315.38</v>
      </c>
      <c r="E5" s="4">
        <v>103.5</v>
      </c>
      <c r="F5" s="89">
        <v>35.75</v>
      </c>
      <c r="G5" s="90">
        <f t="shared" ref="G5:G19" si="0">D55</f>
        <v>-649.11052242512415</v>
      </c>
      <c r="H5" s="90">
        <f t="shared" ref="H5:H19" si="1">G5^2</f>
        <v>421344.47032301762</v>
      </c>
      <c r="I5" s="90">
        <f t="shared" ref="I5:I19" si="2">G5^3</f>
        <v>-273499129.25231117</v>
      </c>
      <c r="J5" s="93">
        <f t="shared" ref="J5:J19" si="3">G5^4</f>
        <v>177531162671.78427</v>
      </c>
      <c r="M5" t="s">
        <v>50</v>
      </c>
      <c r="N5">
        <v>16</v>
      </c>
    </row>
    <row r="6" spans="2:16" x14ac:dyDescent="0.2">
      <c r="B6" s="35">
        <v>2010</v>
      </c>
      <c r="C6" s="16">
        <v>14408</v>
      </c>
      <c r="D6" s="4">
        <v>3435</v>
      </c>
      <c r="E6" s="4">
        <v>102.6</v>
      </c>
      <c r="F6" s="89">
        <v>34.270000000000003</v>
      </c>
      <c r="G6" s="90">
        <f t="shared" si="0"/>
        <v>101.20728383479582</v>
      </c>
      <c r="H6" s="90">
        <f t="shared" si="1"/>
        <v>10242.914301216922</v>
      </c>
      <c r="I6" s="90">
        <f t="shared" si="2"/>
        <v>1036657.5349787503</v>
      </c>
      <c r="J6" s="93">
        <f t="shared" si="3"/>
        <v>104917293.38207416</v>
      </c>
      <c r="M6" t="s">
        <v>100</v>
      </c>
      <c r="N6">
        <f>(I20/N5)/(SQRT(H20/N5))^3</f>
        <v>-0.58176222087488783</v>
      </c>
    </row>
    <row r="7" spans="2:16" x14ac:dyDescent="0.2">
      <c r="B7" s="35">
        <v>2011</v>
      </c>
      <c r="C7" s="16">
        <v>13886</v>
      </c>
      <c r="D7" s="4">
        <v>3625.21</v>
      </c>
      <c r="E7" s="4">
        <v>104.3</v>
      </c>
      <c r="F7" s="92">
        <v>34.5</v>
      </c>
      <c r="G7" s="90">
        <f t="shared" si="0"/>
        <v>-273.43695554810802</v>
      </c>
      <c r="H7" s="90">
        <f t="shared" si="1"/>
        <v>74767.768659417998</v>
      </c>
      <c r="I7" s="90">
        <f t="shared" si="2"/>
        <v>-20444271.035356503</v>
      </c>
      <c r="J7" s="93">
        <f t="shared" si="3"/>
        <v>5590219230.3082485</v>
      </c>
      <c r="M7" t="s">
        <v>52</v>
      </c>
      <c r="N7">
        <f>(J20/N5)/(SQRT(H20/N5))^4</f>
        <v>3.1559732150595297</v>
      </c>
    </row>
    <row r="8" spans="2:16" x14ac:dyDescent="0.2">
      <c r="B8" s="35">
        <v>2012</v>
      </c>
      <c r="C8" s="16">
        <v>15137</v>
      </c>
      <c r="D8" s="4">
        <v>3744.38</v>
      </c>
      <c r="E8" s="4">
        <v>103.7</v>
      </c>
      <c r="F8" s="92">
        <v>33.6</v>
      </c>
      <c r="G8" s="90">
        <f t="shared" si="0"/>
        <v>623.93486980660964</v>
      </c>
      <c r="H8" s="90">
        <f t="shared" si="1"/>
        <v>389294.72176059091</v>
      </c>
      <c r="I8" s="90">
        <f t="shared" si="2"/>
        <v>242894551.53809461</v>
      </c>
      <c r="J8" s="93">
        <f t="shared" si="3"/>
        <v>151550380390.65588</v>
      </c>
      <c r="M8" t="s">
        <v>99</v>
      </c>
      <c r="N8">
        <f>(N5/6)*((N6^2)+((N7-3)^2)/4)</f>
        <v>0.91874451357675557</v>
      </c>
    </row>
    <row r="9" spans="2:16" x14ac:dyDescent="0.2">
      <c r="B9" s="35">
        <v>2013</v>
      </c>
      <c r="C9" s="16">
        <v>15807</v>
      </c>
      <c r="D9" s="4">
        <v>3877.43</v>
      </c>
      <c r="E9" s="4">
        <v>100.9</v>
      </c>
      <c r="F9" s="92">
        <v>33.799999999999997</v>
      </c>
      <c r="G9" s="90">
        <f t="shared" si="0"/>
        <v>-205.81259991641855</v>
      </c>
      <c r="H9" s="90">
        <f t="shared" si="1"/>
        <v>42358.826284355768</v>
      </c>
      <c r="I9" s="90">
        <f t="shared" si="2"/>
        <v>-8717980.1669911873</v>
      </c>
      <c r="J9" s="93">
        <f t="shared" si="3"/>
        <v>1794270164.1882291</v>
      </c>
      <c r="M9" t="s">
        <v>112</v>
      </c>
      <c r="N9">
        <f>_xlfn.CHISQ.INV.RT(0.05,2)</f>
        <v>5.9914645471079817</v>
      </c>
    </row>
    <row r="10" spans="2:16" x14ac:dyDescent="0.2">
      <c r="B10" s="35">
        <v>2014</v>
      </c>
      <c r="C10" s="16">
        <v>17325</v>
      </c>
      <c r="D10" s="4">
        <v>4003.99</v>
      </c>
      <c r="E10" s="4">
        <v>100</v>
      </c>
      <c r="F10" s="92">
        <v>34.799999999999997</v>
      </c>
      <c r="G10" s="90">
        <f t="shared" si="0"/>
        <v>420.15158575097303</v>
      </c>
      <c r="H10" s="90">
        <f t="shared" si="1"/>
        <v>176527.35500905724</v>
      </c>
      <c r="I10" s="90">
        <f t="shared" si="2"/>
        <v>74168248.135480374</v>
      </c>
      <c r="J10" s="93">
        <f t="shared" si="3"/>
        <v>31161907066.493725</v>
      </c>
      <c r="M10" t="s">
        <v>245</v>
      </c>
      <c r="N10">
        <f>_xlfn.CHISQ.DIST.RT(N8,2)</f>
        <v>0.6316800539383346</v>
      </c>
    </row>
    <row r="11" spans="2:16" x14ac:dyDescent="0.2">
      <c r="B11" s="35">
        <v>2015</v>
      </c>
      <c r="C11" s="16">
        <v>18611</v>
      </c>
      <c r="D11" s="4">
        <v>4150.8599999999997</v>
      </c>
      <c r="E11" s="4">
        <v>99.1</v>
      </c>
      <c r="F11" s="92">
        <v>36.700000000000003</v>
      </c>
      <c r="G11" s="90">
        <f t="shared" si="0"/>
        <v>573.12915922538377</v>
      </c>
      <c r="H11" s="90">
        <f t="shared" si="1"/>
        <v>328477.03315439529</v>
      </c>
      <c r="I11" s="90">
        <f t="shared" si="2"/>
        <v>188259765.8366271</v>
      </c>
      <c r="J11" s="93">
        <f t="shared" si="3"/>
        <v>107897161309.91371</v>
      </c>
      <c r="L11" s="203"/>
    </row>
    <row r="12" spans="2:16" x14ac:dyDescent="0.2">
      <c r="B12" s="35">
        <v>2016</v>
      </c>
      <c r="C12" s="16">
        <v>19623</v>
      </c>
      <c r="D12" s="4">
        <v>4290.5200000000004</v>
      </c>
      <c r="E12" s="4">
        <v>99.4</v>
      </c>
      <c r="F12" s="92">
        <v>38.1</v>
      </c>
      <c r="G12" s="90">
        <f t="shared" si="0"/>
        <v>1055.3083754174622</v>
      </c>
      <c r="H12" s="90">
        <f t="shared" si="1"/>
        <v>1113675.7672262434</v>
      </c>
      <c r="I12" s="90">
        <f t="shared" si="2"/>
        <v>1175271364.6533227</v>
      </c>
      <c r="J12" s="93">
        <f t="shared" si="3"/>
        <v>1240273714506.9619</v>
      </c>
      <c r="M12" t="s">
        <v>113</v>
      </c>
      <c r="O12" t="s">
        <v>246</v>
      </c>
    </row>
    <row r="13" spans="2:16" x14ac:dyDescent="0.2">
      <c r="B13" s="35">
        <v>2017</v>
      </c>
      <c r="C13" s="16">
        <v>19125</v>
      </c>
      <c r="D13" s="4">
        <v>4527.8900000000003</v>
      </c>
      <c r="E13" s="4">
        <v>102</v>
      </c>
      <c r="F13" s="92">
        <v>39.299999999999997</v>
      </c>
      <c r="G13" s="90">
        <f t="shared" si="0"/>
        <v>740.41845734158778</v>
      </c>
      <c r="H13" s="90">
        <f t="shared" si="1"/>
        <v>548219.49197209661</v>
      </c>
      <c r="I13" s="90">
        <f t="shared" si="2"/>
        <v>405911830.53056872</v>
      </c>
      <c r="J13" s="93">
        <f t="shared" si="3"/>
        <v>300544611378.14368</v>
      </c>
    </row>
    <row r="14" spans="2:16" x14ac:dyDescent="0.2">
      <c r="B14" s="35">
        <v>2018</v>
      </c>
      <c r="C14" s="16">
        <v>17700</v>
      </c>
      <c r="D14" s="4">
        <v>4834.76</v>
      </c>
      <c r="E14" s="4">
        <v>101.6</v>
      </c>
      <c r="F14" s="92">
        <v>40.1</v>
      </c>
      <c r="G14" s="90">
        <f t="shared" si="0"/>
        <v>-1793.3050824519487</v>
      </c>
      <c r="H14" s="90">
        <f t="shared" si="1"/>
        <v>3215943.1187479906</v>
      </c>
      <c r="I14" s="90">
        <f t="shared" si="2"/>
        <v>-5767167139.7271423</v>
      </c>
      <c r="J14" s="93">
        <f t="shared" si="3"/>
        <v>10342290143022.553</v>
      </c>
      <c r="M14" s="27" t="s">
        <v>244</v>
      </c>
      <c r="N14" s="27"/>
      <c r="O14" s="27"/>
      <c r="P14" s="27"/>
    </row>
    <row r="15" spans="2:16" x14ac:dyDescent="0.2">
      <c r="B15" s="35">
        <v>2019</v>
      </c>
      <c r="C15" s="16">
        <v>20260</v>
      </c>
      <c r="D15" s="4">
        <v>5181.63</v>
      </c>
      <c r="E15" s="4">
        <v>102.3</v>
      </c>
      <c r="F15" s="92">
        <v>40.6</v>
      </c>
      <c r="G15" s="90">
        <f t="shared" si="0"/>
        <v>59.04593164178732</v>
      </c>
      <c r="H15" s="90">
        <f t="shared" si="1"/>
        <v>3486.422043446621</v>
      </c>
      <c r="I15" s="90">
        <f t="shared" si="2"/>
        <v>205859.03765176964</v>
      </c>
      <c r="J15" s="93">
        <f t="shared" si="3"/>
        <v>12155138.665030513</v>
      </c>
      <c r="M15" s="27" t="s">
        <v>136</v>
      </c>
      <c r="N15" s="27"/>
      <c r="O15" s="27"/>
      <c r="P15" s="27"/>
    </row>
    <row r="16" spans="2:16" x14ac:dyDescent="0.2">
      <c r="B16" s="35">
        <v>2020</v>
      </c>
      <c r="C16" s="16">
        <v>17778</v>
      </c>
      <c r="D16" s="4">
        <v>5523.32</v>
      </c>
      <c r="E16" s="4">
        <v>103.4</v>
      </c>
      <c r="F16" s="92">
        <v>26.8</v>
      </c>
      <c r="G16" s="90">
        <f t="shared" si="0"/>
        <v>50.66367458564855</v>
      </c>
      <c r="H16" s="90">
        <f t="shared" si="1"/>
        <v>2566.8079225204906</v>
      </c>
      <c r="I16" s="90">
        <f t="shared" si="2"/>
        <v>130043.92131044273</v>
      </c>
      <c r="J16" s="93">
        <f t="shared" si="3"/>
        <v>6588502.9111139569</v>
      </c>
    </row>
    <row r="17" spans="2:10" x14ac:dyDescent="0.2">
      <c r="B17" s="35">
        <v>2021</v>
      </c>
      <c r="C17" s="16">
        <v>18789</v>
      </c>
      <c r="D17" s="4">
        <v>6001.02</v>
      </c>
      <c r="E17" s="4">
        <v>105.1</v>
      </c>
      <c r="F17" s="92">
        <v>32.299999999999997</v>
      </c>
      <c r="G17" s="90">
        <f t="shared" si="0"/>
        <v>-630.84114352917095</v>
      </c>
      <c r="H17" s="90">
        <f t="shared" si="1"/>
        <v>397960.54836919205</v>
      </c>
      <c r="I17" s="90">
        <f t="shared" si="2"/>
        <v>-251049887.41271707</v>
      </c>
      <c r="J17" s="93">
        <f t="shared" si="3"/>
        <v>158372598058.30804</v>
      </c>
    </row>
    <row r="18" spans="2:10" x14ac:dyDescent="0.2">
      <c r="B18" s="35">
        <v>2022</v>
      </c>
      <c r="C18" s="16">
        <v>20215</v>
      </c>
      <c r="D18" s="4">
        <v>6705.62</v>
      </c>
      <c r="E18" s="4">
        <v>114.4</v>
      </c>
      <c r="F18" s="99">
        <v>40.4</v>
      </c>
      <c r="G18" s="100">
        <f t="shared" si="0"/>
        <v>1016.5567310982296</v>
      </c>
      <c r="H18" s="100">
        <f t="shared" si="1"/>
        <v>1033387.5875411184</v>
      </c>
      <c r="I18" s="100">
        <f t="shared" si="2"/>
        <v>1050497107.948285</v>
      </c>
      <c r="J18" s="101">
        <f t="shared" si="3"/>
        <v>1067889906084.0526</v>
      </c>
    </row>
    <row r="19" spans="2:10" ht="17" thickBot="1" x14ac:dyDescent="0.25">
      <c r="B19" s="36">
        <v>2023</v>
      </c>
      <c r="C19" s="21">
        <v>22187</v>
      </c>
      <c r="D19" s="5">
        <v>7595.3</v>
      </c>
      <c r="E19" s="88">
        <v>111.4</v>
      </c>
      <c r="F19" s="99">
        <v>40.5</v>
      </c>
      <c r="G19" s="100">
        <f t="shared" si="0"/>
        <v>-494.62730737249512</v>
      </c>
      <c r="H19" s="100">
        <f t="shared" si="1"/>
        <v>244656.17319856476</v>
      </c>
      <c r="I19" s="100">
        <f t="shared" si="2"/>
        <v>-121013624.18126489</v>
      </c>
      <c r="J19" s="102">
        <f t="shared" si="3"/>
        <v>59856643084.166122</v>
      </c>
    </row>
    <row r="20" spans="2:10" ht="17" thickBot="1" x14ac:dyDescent="0.25">
      <c r="F20" s="103" t="s">
        <v>88</v>
      </c>
      <c r="G20" s="104">
        <f>SUM(G4:G19)</f>
        <v>-1.2732925824820995E-11</v>
      </c>
      <c r="H20" s="104">
        <f t="shared" ref="H20:J20" si="4">SUM(H4:H19)</f>
        <v>8354893.0808420824</v>
      </c>
      <c r="I20" s="104">
        <f t="shared" si="4"/>
        <v>-3512342579.2437992</v>
      </c>
      <c r="J20" s="105">
        <f t="shared" si="4"/>
        <v>13768769166483.629</v>
      </c>
    </row>
    <row r="28" spans="2:10" x14ac:dyDescent="0.2">
      <c r="B28" t="s">
        <v>4</v>
      </c>
    </row>
    <row r="29" spans="2:10" ht="17" thickBot="1" x14ac:dyDescent="0.25"/>
    <row r="30" spans="2:10" x14ac:dyDescent="0.2">
      <c r="B30" s="8" t="s">
        <v>5</v>
      </c>
      <c r="C30" s="8"/>
    </row>
    <row r="31" spans="2:10" x14ac:dyDescent="0.2">
      <c r="B31" t="s">
        <v>6</v>
      </c>
      <c r="C31">
        <v>0.96297973578096596</v>
      </c>
    </row>
    <row r="32" spans="2:10" x14ac:dyDescent="0.2">
      <c r="B32" t="s">
        <v>7</v>
      </c>
      <c r="C32">
        <v>0.92732997152477903</v>
      </c>
    </row>
    <row r="33" spans="2:10" x14ac:dyDescent="0.2">
      <c r="B33" t="s">
        <v>8</v>
      </c>
      <c r="C33">
        <v>0.90916246440597381</v>
      </c>
    </row>
    <row r="34" spans="2:10" x14ac:dyDescent="0.2">
      <c r="B34" t="s">
        <v>9</v>
      </c>
      <c r="C34">
        <v>834.41062437517689</v>
      </c>
    </row>
    <row r="35" spans="2:10" ht="17" thickBot="1" x14ac:dyDescent="0.25">
      <c r="B35" s="6" t="s">
        <v>10</v>
      </c>
      <c r="C35" s="6">
        <v>16</v>
      </c>
    </row>
    <row r="37" spans="2:10" ht="17" thickBot="1" x14ac:dyDescent="0.25">
      <c r="B37" t="s">
        <v>11</v>
      </c>
    </row>
    <row r="38" spans="2:10" x14ac:dyDescent="0.2">
      <c r="B38" s="7"/>
      <c r="C38" s="7" t="s">
        <v>12</v>
      </c>
      <c r="D38" s="7" t="s">
        <v>13</v>
      </c>
      <c r="E38" s="7" t="s">
        <v>14</v>
      </c>
      <c r="F38" s="7" t="s">
        <v>15</v>
      </c>
      <c r="G38" s="7" t="s">
        <v>16</v>
      </c>
    </row>
    <row r="39" spans="2:10" x14ac:dyDescent="0.2">
      <c r="B39" t="s">
        <v>17</v>
      </c>
      <c r="C39">
        <v>3</v>
      </c>
      <c r="D39">
        <v>106615380.85665792</v>
      </c>
      <c r="E39">
        <v>35538460.285552643</v>
      </c>
      <c r="F39">
        <v>51.043325067141332</v>
      </c>
      <c r="G39">
        <v>4.1823174729643182E-7</v>
      </c>
    </row>
    <row r="40" spans="2:10" x14ac:dyDescent="0.2">
      <c r="B40" t="s">
        <v>18</v>
      </c>
      <c r="C40">
        <v>12</v>
      </c>
      <c r="D40">
        <v>8354893.0808420712</v>
      </c>
      <c r="E40">
        <v>696241.09007017256</v>
      </c>
    </row>
    <row r="41" spans="2:10" ht="17" thickBot="1" x14ac:dyDescent="0.25">
      <c r="B41" s="6" t="s">
        <v>19</v>
      </c>
      <c r="C41" s="6">
        <v>15</v>
      </c>
      <c r="D41" s="6">
        <v>114970273.9375</v>
      </c>
      <c r="E41" s="6"/>
      <c r="F41" s="6"/>
      <c r="G41" s="6"/>
    </row>
    <row r="42" spans="2:10" ht="17" thickBot="1" x14ac:dyDescent="0.25"/>
    <row r="43" spans="2:10" x14ac:dyDescent="0.2">
      <c r="B43" s="7"/>
      <c r="C43" s="7" t="s">
        <v>20</v>
      </c>
      <c r="D43" s="7" t="s">
        <v>9</v>
      </c>
      <c r="E43" s="7" t="s">
        <v>21</v>
      </c>
      <c r="F43" s="7" t="s">
        <v>22</v>
      </c>
      <c r="G43" s="7" t="s">
        <v>23</v>
      </c>
      <c r="H43" s="7" t="s">
        <v>24</v>
      </c>
      <c r="I43" s="7" t="s">
        <v>25</v>
      </c>
      <c r="J43" s="7" t="s">
        <v>26</v>
      </c>
    </row>
    <row r="44" spans="2:10" x14ac:dyDescent="0.2">
      <c r="B44" t="s">
        <v>27</v>
      </c>
      <c r="C44">
        <v>39373.261743251824</v>
      </c>
      <c r="D44">
        <v>6984.2757063156996</v>
      </c>
      <c r="E44">
        <v>5.6374151592623418</v>
      </c>
      <c r="F44">
        <v>1.0944013342118546E-4</v>
      </c>
      <c r="G44">
        <v>24155.832228398034</v>
      </c>
      <c r="H44">
        <v>54590.691258105617</v>
      </c>
      <c r="I44">
        <v>24155.832228398034</v>
      </c>
      <c r="J44">
        <v>54590.691258105617</v>
      </c>
    </row>
    <row r="45" spans="2:10" x14ac:dyDescent="0.2">
      <c r="B45" t="s">
        <v>29</v>
      </c>
      <c r="C45">
        <v>2.5435498133689332</v>
      </c>
      <c r="D45">
        <v>0.23409778224668468</v>
      </c>
      <c r="E45">
        <v>10.865330670619606</v>
      </c>
      <c r="F45">
        <v>1.4505890490845721E-7</v>
      </c>
      <c r="G45">
        <v>2.0334945620132117</v>
      </c>
      <c r="H45">
        <v>3.0536050647246546</v>
      </c>
      <c r="I45">
        <v>2.0334945620132117</v>
      </c>
      <c r="J45">
        <v>3.0536050647246546</v>
      </c>
    </row>
    <row r="46" spans="2:10" x14ac:dyDescent="0.2">
      <c r="B46" t="s">
        <v>2</v>
      </c>
      <c r="C46">
        <v>-399.73409811594229</v>
      </c>
      <c r="D46">
        <v>74.010587853682225</v>
      </c>
      <c r="E46">
        <v>-5.4010393608305121</v>
      </c>
      <c r="F46">
        <v>1.5981429098645857E-4</v>
      </c>
      <c r="G46">
        <v>-560.98931646275867</v>
      </c>
      <c r="H46">
        <v>-238.47887976912591</v>
      </c>
      <c r="I46">
        <v>-560.98931646275867</v>
      </c>
      <c r="J46">
        <v>-238.47887976912591</v>
      </c>
    </row>
    <row r="47" spans="2:10" ht="17" thickBot="1" x14ac:dyDescent="0.25">
      <c r="B47" s="6" t="s">
        <v>32</v>
      </c>
      <c r="C47" s="6">
        <v>210.36346164828618</v>
      </c>
      <c r="D47" s="6">
        <v>59.699402963317617</v>
      </c>
      <c r="E47" s="6">
        <v>3.523711313788922</v>
      </c>
      <c r="F47" s="6">
        <v>4.1946782497467028E-3</v>
      </c>
      <c r="G47" s="6">
        <v>80.289636548335992</v>
      </c>
      <c r="H47" s="6">
        <v>340.43728674823637</v>
      </c>
      <c r="I47" s="6">
        <v>80.289636548335992</v>
      </c>
      <c r="J47" s="6">
        <v>340.43728674823637</v>
      </c>
    </row>
    <row r="51" spans="2:4" x14ac:dyDescent="0.2">
      <c r="B51" t="s">
        <v>56</v>
      </c>
    </row>
    <row r="52" spans="2:4" ht="17" thickBot="1" x14ac:dyDescent="0.25"/>
    <row r="53" spans="2:4" x14ac:dyDescent="0.2">
      <c r="B53" s="7" t="s">
        <v>58</v>
      </c>
      <c r="C53" s="7" t="s">
        <v>59</v>
      </c>
      <c r="D53" s="7" t="s">
        <v>60</v>
      </c>
    </row>
    <row r="54" spans="2:4" x14ac:dyDescent="0.2">
      <c r="B54">
        <v>1</v>
      </c>
      <c r="C54">
        <v>13662.282457459225</v>
      </c>
      <c r="D54">
        <v>-593.28245745922504</v>
      </c>
    </row>
    <row r="55" spans="2:4" x14ac:dyDescent="0.2">
      <c r="B55">
        <v>2</v>
      </c>
      <c r="C55">
        <v>13954.110522425124</v>
      </c>
      <c r="D55">
        <v>-649.11052242512415</v>
      </c>
    </row>
    <row r="56" spans="2:4" x14ac:dyDescent="0.2">
      <c r="B56">
        <v>3</v>
      </c>
      <c r="C56">
        <v>14306.792716165204</v>
      </c>
      <c r="D56">
        <v>101.20728383479582</v>
      </c>
    </row>
    <row r="57" spans="2:4" x14ac:dyDescent="0.2">
      <c r="B57">
        <v>4</v>
      </c>
      <c r="C57">
        <v>14159.436955548108</v>
      </c>
      <c r="D57">
        <v>-273.43695554810802</v>
      </c>
    </row>
    <row r="58" spans="2:4" x14ac:dyDescent="0.2">
      <c r="B58">
        <v>5</v>
      </c>
      <c r="C58">
        <v>14513.06513019339</v>
      </c>
      <c r="D58">
        <v>623.93486980660964</v>
      </c>
    </row>
    <row r="59" spans="2:4" x14ac:dyDescent="0.2">
      <c r="B59">
        <v>6</v>
      </c>
      <c r="C59">
        <v>16012.812599916419</v>
      </c>
      <c r="D59">
        <v>-205.81259991641855</v>
      </c>
    </row>
    <row r="60" spans="2:4" x14ac:dyDescent="0.2">
      <c r="B60">
        <v>7</v>
      </c>
      <c r="C60">
        <v>16904.848414249027</v>
      </c>
      <c r="D60">
        <v>420.15158575097303</v>
      </c>
    </row>
    <row r="61" spans="2:4" x14ac:dyDescent="0.2">
      <c r="B61">
        <v>8</v>
      </c>
      <c r="C61">
        <v>18037.870840774616</v>
      </c>
      <c r="D61">
        <v>573.12915922538377</v>
      </c>
    </row>
    <row r="62" spans="2:4" x14ac:dyDescent="0.2">
      <c r="B62">
        <v>9</v>
      </c>
      <c r="C62">
        <v>18567.691624582538</v>
      </c>
      <c r="D62">
        <v>1055.3083754174622</v>
      </c>
    </row>
    <row r="63" spans="2:4" x14ac:dyDescent="0.2">
      <c r="B63">
        <v>10</v>
      </c>
      <c r="C63">
        <v>18384.581542658412</v>
      </c>
      <c r="D63">
        <v>740.41845734158778</v>
      </c>
    </row>
    <row r="64" spans="2:4" x14ac:dyDescent="0.2">
      <c r="B64">
        <v>11</v>
      </c>
      <c r="C64">
        <v>19493.305082451949</v>
      </c>
      <c r="D64">
        <v>-1793.3050824519487</v>
      </c>
    </row>
    <row r="65" spans="2:4" x14ac:dyDescent="0.2">
      <c r="B65">
        <v>12</v>
      </c>
      <c r="C65">
        <v>20200.954068358213</v>
      </c>
      <c r="D65">
        <v>59.04593164178732</v>
      </c>
    </row>
    <row r="66" spans="2:4" x14ac:dyDescent="0.2">
      <c r="B66">
        <v>13</v>
      </c>
      <c r="C66">
        <v>17727.336325414351</v>
      </c>
      <c r="D66">
        <v>50.66367458564855</v>
      </c>
    </row>
    <row r="67" spans="2:4" x14ac:dyDescent="0.2">
      <c r="B67">
        <v>14</v>
      </c>
      <c r="C67">
        <v>19419.841143529171</v>
      </c>
      <c r="D67">
        <v>-630.84114352917095</v>
      </c>
    </row>
    <row r="68" spans="2:4" x14ac:dyDescent="0.2">
      <c r="B68">
        <v>15</v>
      </c>
      <c r="C68">
        <v>19198.44326890177</v>
      </c>
      <c r="D68">
        <v>1016.5567310982296</v>
      </c>
    </row>
    <row r="69" spans="2:4" ht="17" thickBot="1" x14ac:dyDescent="0.25">
      <c r="B69" s="6">
        <v>16</v>
      </c>
      <c r="C69" s="6">
        <v>22681.627307372495</v>
      </c>
      <c r="D69" s="6">
        <v>-494.62730737249512</v>
      </c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Q47"/>
  <sheetViews>
    <sheetView workbookViewId="0">
      <selection activeCell="C47" sqref="C47"/>
    </sheetView>
  </sheetViews>
  <sheetFormatPr baseColWidth="10" defaultColWidth="11.5" defaultRowHeight="16" x14ac:dyDescent="0.2"/>
  <cols>
    <col min="3" max="3" width="12.1640625" bestFit="1" customWidth="1"/>
    <col min="9" max="9" width="40.83203125" customWidth="1"/>
    <col min="10" max="10" width="16.6640625" customWidth="1"/>
    <col min="11" max="11" width="18.1640625" customWidth="1"/>
    <col min="12" max="12" width="11" bestFit="1" customWidth="1"/>
    <col min="13" max="13" width="12.6640625" bestFit="1" customWidth="1"/>
  </cols>
  <sheetData>
    <row r="2" spans="2:14" ht="17" thickBot="1" x14ac:dyDescent="0.25"/>
    <row r="3" spans="2:14" ht="86" thickBot="1" x14ac:dyDescent="0.25">
      <c r="B3" s="109" t="s">
        <v>0</v>
      </c>
      <c r="C3" s="110" t="s">
        <v>1</v>
      </c>
      <c r="D3" s="110" t="s">
        <v>29</v>
      </c>
      <c r="E3" s="110" t="s">
        <v>154</v>
      </c>
      <c r="F3" s="111" t="s">
        <v>32</v>
      </c>
    </row>
    <row r="4" spans="2:14" x14ac:dyDescent="0.2">
      <c r="B4" s="112">
        <v>2008</v>
      </c>
      <c r="C4" s="10">
        <v>13069</v>
      </c>
      <c r="D4" s="113">
        <v>3158.48</v>
      </c>
      <c r="E4" s="113">
        <v>104.2</v>
      </c>
      <c r="F4" s="114">
        <v>37.590000000000003</v>
      </c>
      <c r="I4" t="s">
        <v>4</v>
      </c>
    </row>
    <row r="5" spans="2:14" ht="17" thickBot="1" x14ac:dyDescent="0.25">
      <c r="B5" s="112">
        <v>2009</v>
      </c>
      <c r="C5" s="10">
        <v>13305</v>
      </c>
      <c r="D5" s="113">
        <v>3315.38</v>
      </c>
      <c r="E5" s="113">
        <v>103.5</v>
      </c>
      <c r="F5" s="114">
        <v>35.75</v>
      </c>
    </row>
    <row r="6" spans="2:14" x14ac:dyDescent="0.2">
      <c r="B6" s="112">
        <v>2010</v>
      </c>
      <c r="C6" s="10">
        <v>14408</v>
      </c>
      <c r="D6" s="113">
        <v>3435</v>
      </c>
      <c r="E6" s="113">
        <v>102.6</v>
      </c>
      <c r="F6" s="114">
        <v>34.270000000000003</v>
      </c>
      <c r="I6" s="8" t="s">
        <v>5</v>
      </c>
      <c r="J6" s="8"/>
    </row>
    <row r="7" spans="2:14" x14ac:dyDescent="0.2">
      <c r="B7" s="112">
        <v>2011</v>
      </c>
      <c r="C7" s="10">
        <v>13886</v>
      </c>
      <c r="D7" s="113">
        <v>3625.21</v>
      </c>
      <c r="E7" s="113">
        <v>104.3</v>
      </c>
      <c r="F7" s="115">
        <v>34.5</v>
      </c>
      <c r="I7" t="s">
        <v>6</v>
      </c>
      <c r="J7">
        <v>0.96297973578096596</v>
      </c>
    </row>
    <row r="8" spans="2:14" x14ac:dyDescent="0.2">
      <c r="B8" s="112">
        <v>2012</v>
      </c>
      <c r="C8" s="10">
        <v>15137</v>
      </c>
      <c r="D8" s="113">
        <v>3744.38</v>
      </c>
      <c r="E8" s="113">
        <v>103.7</v>
      </c>
      <c r="F8" s="115">
        <v>33.6</v>
      </c>
      <c r="I8" t="s">
        <v>7</v>
      </c>
      <c r="J8">
        <v>0.92732997152477903</v>
      </c>
    </row>
    <row r="9" spans="2:14" x14ac:dyDescent="0.2">
      <c r="B9" s="112">
        <v>2013</v>
      </c>
      <c r="C9" s="10">
        <v>15807</v>
      </c>
      <c r="D9" s="113">
        <v>3877.43</v>
      </c>
      <c r="E9" s="113">
        <v>100.9</v>
      </c>
      <c r="F9" s="115">
        <v>33.799999999999997</v>
      </c>
      <c r="I9" t="s">
        <v>8</v>
      </c>
      <c r="J9">
        <v>0.90916246440597381</v>
      </c>
    </row>
    <row r="10" spans="2:14" x14ac:dyDescent="0.2">
      <c r="B10" s="112">
        <v>2014</v>
      </c>
      <c r="C10" s="10">
        <v>17325</v>
      </c>
      <c r="D10" s="113">
        <v>4003.99</v>
      </c>
      <c r="E10" s="113">
        <v>100</v>
      </c>
      <c r="F10" s="115">
        <v>34.799999999999997</v>
      </c>
      <c r="I10" t="s">
        <v>9</v>
      </c>
      <c r="J10">
        <v>834.41062437517689</v>
      </c>
    </row>
    <row r="11" spans="2:14" ht="17" thickBot="1" x14ac:dyDescent="0.25">
      <c r="B11" s="112">
        <v>2015</v>
      </c>
      <c r="C11" s="10">
        <v>18611</v>
      </c>
      <c r="D11" s="113">
        <v>4150.8599999999997</v>
      </c>
      <c r="E11" s="113">
        <v>99.1</v>
      </c>
      <c r="F11" s="115">
        <v>36.700000000000003</v>
      </c>
      <c r="I11" s="6" t="s">
        <v>10</v>
      </c>
      <c r="J11" s="6">
        <v>16</v>
      </c>
    </row>
    <row r="12" spans="2:14" x14ac:dyDescent="0.2">
      <c r="B12" s="112">
        <v>2016</v>
      </c>
      <c r="C12" s="10">
        <v>19623</v>
      </c>
      <c r="D12" s="113">
        <v>4290.5200000000004</v>
      </c>
      <c r="E12" s="113">
        <v>99.4</v>
      </c>
      <c r="F12" s="115">
        <v>38.1</v>
      </c>
    </row>
    <row r="13" spans="2:14" ht="17" thickBot="1" x14ac:dyDescent="0.25">
      <c r="B13" s="112">
        <v>2017</v>
      </c>
      <c r="C13" s="10">
        <v>19125</v>
      </c>
      <c r="D13" s="113">
        <v>4527.8900000000003</v>
      </c>
      <c r="E13" s="113">
        <v>102</v>
      </c>
      <c r="F13" s="115">
        <v>39.299999999999997</v>
      </c>
      <c r="I13" t="s">
        <v>11</v>
      </c>
    </row>
    <row r="14" spans="2:14" x14ac:dyDescent="0.2">
      <c r="B14" s="112">
        <v>2018</v>
      </c>
      <c r="C14" s="10">
        <v>17700</v>
      </c>
      <c r="D14" s="113">
        <v>4834.76</v>
      </c>
      <c r="E14" s="113">
        <v>101.6</v>
      </c>
      <c r="F14" s="115">
        <v>40.1</v>
      </c>
      <c r="I14" s="7"/>
      <c r="J14" s="7" t="s">
        <v>12</v>
      </c>
      <c r="K14" s="7" t="s">
        <v>13</v>
      </c>
      <c r="L14" s="7" t="s">
        <v>14</v>
      </c>
      <c r="M14" s="7" t="s">
        <v>15</v>
      </c>
      <c r="N14" s="7" t="s">
        <v>16</v>
      </c>
    </row>
    <row r="15" spans="2:14" x14ac:dyDescent="0.2">
      <c r="B15" s="112">
        <v>2019</v>
      </c>
      <c r="C15" s="10">
        <v>20260</v>
      </c>
      <c r="D15" s="113">
        <v>5181.63</v>
      </c>
      <c r="E15" s="113">
        <v>102.3</v>
      </c>
      <c r="F15" s="115">
        <v>40.6</v>
      </c>
      <c r="I15" t="s">
        <v>17</v>
      </c>
      <c r="J15">
        <v>3</v>
      </c>
      <c r="K15">
        <v>106615380.85665792</v>
      </c>
      <c r="L15">
        <v>35538460.285552643</v>
      </c>
      <c r="M15">
        <v>51.043325067141332</v>
      </c>
      <c r="N15">
        <v>4.1823174729643182E-7</v>
      </c>
    </row>
    <row r="16" spans="2:14" x14ac:dyDescent="0.2">
      <c r="B16" s="112">
        <v>2020</v>
      </c>
      <c r="C16" s="10">
        <v>17778</v>
      </c>
      <c r="D16" s="113">
        <v>5523.32</v>
      </c>
      <c r="E16" s="113">
        <v>103.4</v>
      </c>
      <c r="F16" s="115">
        <v>26.8</v>
      </c>
      <c r="I16" t="s">
        <v>18</v>
      </c>
      <c r="J16">
        <v>12</v>
      </c>
      <c r="K16">
        <v>8354893.0808420712</v>
      </c>
      <c r="L16">
        <v>696241.09007017256</v>
      </c>
    </row>
    <row r="17" spans="2:17" ht="17" thickBot="1" x14ac:dyDescent="0.25">
      <c r="B17" s="112">
        <v>2021</v>
      </c>
      <c r="C17" s="10">
        <v>18789</v>
      </c>
      <c r="D17" s="113">
        <v>6001.02</v>
      </c>
      <c r="E17" s="113">
        <v>105.1</v>
      </c>
      <c r="F17" s="115">
        <v>32.299999999999997</v>
      </c>
      <c r="I17" s="6" t="s">
        <v>19</v>
      </c>
      <c r="J17" s="6">
        <v>15</v>
      </c>
      <c r="K17" s="6">
        <v>114970273.9375</v>
      </c>
      <c r="L17" s="6"/>
      <c r="M17" s="6"/>
      <c r="N17" s="6"/>
    </row>
    <row r="18" spans="2:17" ht="17" thickBot="1" x14ac:dyDescent="0.25">
      <c r="B18" s="112">
        <v>2022</v>
      </c>
      <c r="C18" s="10">
        <v>20215</v>
      </c>
      <c r="D18" s="113">
        <v>6705.62</v>
      </c>
      <c r="E18" s="113">
        <v>114.4</v>
      </c>
      <c r="F18" s="115">
        <v>40.4</v>
      </c>
    </row>
    <row r="19" spans="2:17" ht="17" thickBot="1" x14ac:dyDescent="0.25">
      <c r="B19" s="116">
        <v>2023</v>
      </c>
      <c r="C19" s="117">
        <v>22187</v>
      </c>
      <c r="D19" s="118">
        <v>7595.3</v>
      </c>
      <c r="E19" s="118">
        <v>111.4</v>
      </c>
      <c r="F19" s="119">
        <v>40.5</v>
      </c>
      <c r="I19" s="7"/>
      <c r="J19" s="7" t="s">
        <v>20</v>
      </c>
      <c r="K19" s="7" t="s">
        <v>9</v>
      </c>
      <c r="L19" s="7" t="s">
        <v>21</v>
      </c>
      <c r="M19" s="7" t="s">
        <v>22</v>
      </c>
      <c r="N19" s="7" t="s">
        <v>23</v>
      </c>
      <c r="O19" s="7" t="s">
        <v>24</v>
      </c>
      <c r="P19" s="7" t="s">
        <v>25</v>
      </c>
      <c r="Q19" s="7" t="s">
        <v>26</v>
      </c>
    </row>
    <row r="20" spans="2:17" x14ac:dyDescent="0.2">
      <c r="I20" t="s">
        <v>27</v>
      </c>
      <c r="J20">
        <v>39373.261743251824</v>
      </c>
      <c r="K20">
        <v>6984.2757063156996</v>
      </c>
      <c r="L20">
        <v>5.6374151592623418</v>
      </c>
      <c r="M20">
        <v>1.0944013342118546E-4</v>
      </c>
      <c r="N20">
        <v>24155.832228398034</v>
      </c>
      <c r="O20">
        <v>54590.691258105617</v>
      </c>
      <c r="P20">
        <v>24155.832228398034</v>
      </c>
      <c r="Q20">
        <v>54590.691258105617</v>
      </c>
    </row>
    <row r="21" spans="2:17" x14ac:dyDescent="0.2">
      <c r="I21" t="s">
        <v>29</v>
      </c>
      <c r="J21">
        <v>2.5435498133689332</v>
      </c>
      <c r="K21">
        <v>0.23409778224668468</v>
      </c>
      <c r="L21">
        <v>10.865330670619606</v>
      </c>
      <c r="M21">
        <v>1.4505890490845721E-7</v>
      </c>
      <c r="N21">
        <v>2.0334945620132117</v>
      </c>
      <c r="O21">
        <v>3.0536050647246546</v>
      </c>
      <c r="P21">
        <v>2.0334945620132117</v>
      </c>
      <c r="Q21">
        <v>3.0536050647246546</v>
      </c>
    </row>
    <row r="22" spans="2:17" x14ac:dyDescent="0.2">
      <c r="I22" t="s">
        <v>2</v>
      </c>
      <c r="J22">
        <v>-399.73409811594229</v>
      </c>
      <c r="K22">
        <v>74.010587853682225</v>
      </c>
      <c r="L22">
        <v>-5.4010393608305121</v>
      </c>
      <c r="M22">
        <v>1.5981429098645857E-4</v>
      </c>
      <c r="N22">
        <v>-560.98931646275867</v>
      </c>
      <c r="O22">
        <v>-238.47887976912591</v>
      </c>
      <c r="P22">
        <v>-560.98931646275867</v>
      </c>
      <c r="Q22">
        <v>-238.47887976912591</v>
      </c>
    </row>
    <row r="23" spans="2:17" ht="17" thickBot="1" x14ac:dyDescent="0.25">
      <c r="I23" s="6" t="s">
        <v>32</v>
      </c>
      <c r="J23" s="6">
        <v>210.36346164828618</v>
      </c>
      <c r="K23" s="6">
        <v>59.699402963317617</v>
      </c>
      <c r="L23" s="6">
        <v>3.523711313788922</v>
      </c>
      <c r="M23" s="6">
        <v>4.1946782497467028E-3</v>
      </c>
      <c r="N23" s="6">
        <v>80.289636548335992</v>
      </c>
      <c r="O23" s="6">
        <v>340.43728674823637</v>
      </c>
      <c r="P23" s="6">
        <v>80.289636548335992</v>
      </c>
      <c r="Q23" s="6">
        <v>340.43728674823637</v>
      </c>
    </row>
    <row r="24" spans="2:17" ht="19" x14ac:dyDescent="0.2">
      <c r="B24" s="121" t="s">
        <v>102</v>
      </c>
      <c r="C24" s="122">
        <f>J8</f>
        <v>0.92732997152477903</v>
      </c>
    </row>
    <row r="25" spans="2:17" ht="19" x14ac:dyDescent="0.2">
      <c r="B25" s="123" t="s">
        <v>104</v>
      </c>
      <c r="C25" s="124">
        <f>1-C24</f>
        <v>7.2670028475220971E-2</v>
      </c>
    </row>
    <row r="26" spans="2:17" x14ac:dyDescent="0.2">
      <c r="B26" s="125" t="s">
        <v>103</v>
      </c>
      <c r="C26" s="124">
        <f>J10/AVERAGE(C4:C19)</f>
        <v>4.8157886157463539E-2</v>
      </c>
      <c r="J26" s="37"/>
      <c r="K26" s="37"/>
      <c r="L26" s="37"/>
      <c r="M26" s="37"/>
    </row>
    <row r="27" spans="2:17" x14ac:dyDescent="0.2">
      <c r="B27" s="125" t="s">
        <v>105</v>
      </c>
      <c r="C27" s="93">
        <f>J10</f>
        <v>834.41062437517689</v>
      </c>
    </row>
    <row r="28" spans="2:17" ht="18" x14ac:dyDescent="0.25">
      <c r="B28" s="125" t="s">
        <v>218</v>
      </c>
      <c r="C28" s="93">
        <f>K20</f>
        <v>6984.2757063156996</v>
      </c>
    </row>
    <row r="29" spans="2:17" ht="18" x14ac:dyDescent="0.25">
      <c r="B29" s="125" t="s">
        <v>106</v>
      </c>
      <c r="C29" s="93">
        <f>K21</f>
        <v>0.23409778224668468</v>
      </c>
    </row>
    <row r="30" spans="2:17" ht="18" x14ac:dyDescent="0.25">
      <c r="B30" s="125" t="s">
        <v>107</v>
      </c>
      <c r="C30" s="93">
        <f>K22</f>
        <v>74.010587853682225</v>
      </c>
    </row>
    <row r="31" spans="2:17" ht="18" x14ac:dyDescent="0.25">
      <c r="B31" s="125" t="s">
        <v>108</v>
      </c>
      <c r="C31" s="93">
        <f>K23</f>
        <v>59.699402963317617</v>
      </c>
    </row>
    <row r="32" spans="2:17" x14ac:dyDescent="0.2">
      <c r="B32" s="125" t="s">
        <v>219</v>
      </c>
      <c r="C32" s="93">
        <f>M20</f>
        <v>1.0944013342118546E-4</v>
      </c>
    </row>
    <row r="33" spans="2:7" x14ac:dyDescent="0.2">
      <c r="B33" s="125" t="s">
        <v>109</v>
      </c>
      <c r="C33" s="93">
        <f>M21</f>
        <v>1.4505890490845721E-7</v>
      </c>
    </row>
    <row r="34" spans="2:7" x14ac:dyDescent="0.2">
      <c r="B34" s="125" t="s">
        <v>110</v>
      </c>
      <c r="C34" s="93">
        <f>M22</f>
        <v>1.5981429098645857E-4</v>
      </c>
      <c r="E34" s="29"/>
      <c r="F34" s="29"/>
      <c r="G34" s="29"/>
    </row>
    <row r="35" spans="2:7" ht="17" thickBot="1" x14ac:dyDescent="0.25">
      <c r="B35" s="179" t="s">
        <v>111</v>
      </c>
      <c r="C35" s="101">
        <f>M23</f>
        <v>4.1946782497467028E-3</v>
      </c>
    </row>
    <row r="36" spans="2:7" x14ac:dyDescent="0.2">
      <c r="B36" s="181" t="s">
        <v>220</v>
      </c>
      <c r="C36" s="175">
        <f>J20-C40*C28</f>
        <v>24155.832228398034</v>
      </c>
      <c r="D36" s="177" t="s">
        <v>223</v>
      </c>
      <c r="E36" s="176">
        <f>J20+C40*C28</f>
        <v>54590.691258105609</v>
      </c>
    </row>
    <row r="37" spans="2:7" x14ac:dyDescent="0.2">
      <c r="B37" s="180" t="s">
        <v>217</v>
      </c>
      <c r="C37" s="91">
        <f>J21-C40*C29</f>
        <v>2.0334945620132112</v>
      </c>
      <c r="D37" s="178" t="s">
        <v>224</v>
      </c>
      <c r="E37" s="93">
        <f>J21+C40*C29</f>
        <v>3.0536050647246551</v>
      </c>
    </row>
    <row r="38" spans="2:7" x14ac:dyDescent="0.2">
      <c r="B38" s="180" t="s">
        <v>221</v>
      </c>
      <c r="C38" s="91">
        <f>J22-C40*C30</f>
        <v>-560.98931646275867</v>
      </c>
      <c r="D38" s="207" t="s">
        <v>225</v>
      </c>
      <c r="E38" s="101">
        <f>J22+C40*C30</f>
        <v>-238.47887976912591</v>
      </c>
    </row>
    <row r="39" spans="2:7" x14ac:dyDescent="0.2">
      <c r="B39" s="182" t="s">
        <v>222</v>
      </c>
      <c r="C39" s="91">
        <f>J23-C40*C31</f>
        <v>80.289636548336006</v>
      </c>
      <c r="D39" s="178" t="s">
        <v>226</v>
      </c>
      <c r="E39" s="93">
        <f>J23-C40*C31</f>
        <v>80.289636548336006</v>
      </c>
    </row>
    <row r="40" spans="2:7" ht="17" thickBot="1" x14ac:dyDescent="0.25">
      <c r="B40" s="125" t="s">
        <v>35</v>
      </c>
      <c r="C40" s="106">
        <f>_xlfn.T.INV.2T(0.05,J16)</f>
        <v>2.1788128296672284</v>
      </c>
      <c r="D40" s="208" t="s">
        <v>247</v>
      </c>
      <c r="E40" s="174">
        <v>0.05</v>
      </c>
    </row>
    <row r="41" spans="2:7" ht="18" x14ac:dyDescent="0.25">
      <c r="B41" s="125" t="s">
        <v>227</v>
      </c>
      <c r="C41" s="93">
        <f>L20</f>
        <v>5.6374151592623418</v>
      </c>
    </row>
    <row r="42" spans="2:7" ht="18" x14ac:dyDescent="0.25">
      <c r="B42" s="125" t="s">
        <v>228</v>
      </c>
      <c r="C42" s="93">
        <f t="shared" ref="C42:C44" si="0">L21</f>
        <v>10.865330670619606</v>
      </c>
    </row>
    <row r="43" spans="2:7" ht="18" x14ac:dyDescent="0.25">
      <c r="B43" s="125" t="s">
        <v>229</v>
      </c>
      <c r="C43" s="93">
        <f t="shared" si="0"/>
        <v>-5.4010393608305121</v>
      </c>
    </row>
    <row r="44" spans="2:7" ht="18" x14ac:dyDescent="0.25">
      <c r="B44" s="125" t="s">
        <v>230</v>
      </c>
      <c r="C44" s="93">
        <f t="shared" si="0"/>
        <v>3.523711313788922</v>
      </c>
    </row>
    <row r="45" spans="2:7" x14ac:dyDescent="0.2">
      <c r="B45" s="125" t="s">
        <v>15</v>
      </c>
      <c r="C45" s="93">
        <f>(K15/3)/(K16/J16)</f>
        <v>51.043325067141332</v>
      </c>
    </row>
    <row r="46" spans="2:7" x14ac:dyDescent="0.2">
      <c r="B46" s="125" t="s">
        <v>159</v>
      </c>
      <c r="C46" s="93">
        <f>_xlfn.F.DIST.RT(C45,J15,J16)</f>
        <v>4.1823174729643182E-7</v>
      </c>
    </row>
    <row r="47" spans="2:7" ht="19" thickBot="1" x14ac:dyDescent="0.3">
      <c r="B47" s="126" t="s">
        <v>231</v>
      </c>
      <c r="C47" s="95">
        <f>_xlfn.F.INV.RT(0.05,J15,J16)</f>
        <v>3.4902948194976045</v>
      </c>
    </row>
  </sheetData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209"/>
  <sheetViews>
    <sheetView topLeftCell="A172" zoomScale="131" zoomScaleNormal="85" workbookViewId="0">
      <selection activeCell="E156" sqref="E156"/>
    </sheetView>
  </sheetViews>
  <sheetFormatPr baseColWidth="10" defaultColWidth="11.5" defaultRowHeight="16" x14ac:dyDescent="0.2"/>
  <cols>
    <col min="3" max="3" width="11.5" bestFit="1" customWidth="1"/>
    <col min="12" max="12" width="11.83203125" bestFit="1" customWidth="1"/>
  </cols>
  <sheetData>
    <row r="2" spans="2:12" ht="27" x14ac:dyDescent="0.35">
      <c r="B2" s="127" t="s">
        <v>114</v>
      </c>
      <c r="C2" s="27"/>
    </row>
    <row r="4" spans="2:12" ht="17" thickBot="1" x14ac:dyDescent="0.25">
      <c r="B4" t="s">
        <v>124</v>
      </c>
      <c r="C4" t="s">
        <v>123</v>
      </c>
    </row>
    <row r="5" spans="2:12" ht="86" thickBot="1" x14ac:dyDescent="0.25">
      <c r="B5" s="134" t="s">
        <v>0</v>
      </c>
      <c r="C5" s="133" t="s">
        <v>29</v>
      </c>
      <c r="G5" t="s">
        <v>4</v>
      </c>
    </row>
    <row r="6" spans="2:12" ht="17" thickBot="1" x14ac:dyDescent="0.25">
      <c r="B6" s="131">
        <v>1</v>
      </c>
      <c r="C6" s="132">
        <v>3158.48</v>
      </c>
    </row>
    <row r="7" spans="2:12" x14ac:dyDescent="0.2">
      <c r="B7" s="125">
        <v>2</v>
      </c>
      <c r="C7" s="129">
        <v>3315.38</v>
      </c>
      <c r="G7" s="8" t="s">
        <v>5</v>
      </c>
      <c r="H7" s="8"/>
    </row>
    <row r="8" spans="2:12" x14ac:dyDescent="0.2">
      <c r="B8" s="125">
        <v>3</v>
      </c>
      <c r="C8" s="129">
        <v>3435</v>
      </c>
      <c r="G8" t="s">
        <v>6</v>
      </c>
      <c r="H8">
        <v>0.9439452689304072</v>
      </c>
    </row>
    <row r="9" spans="2:12" x14ac:dyDescent="0.2">
      <c r="B9" s="125">
        <v>4</v>
      </c>
      <c r="C9" s="129">
        <v>3625.21</v>
      </c>
      <c r="G9" t="s">
        <v>7</v>
      </c>
      <c r="H9">
        <v>0.89103267073609871</v>
      </c>
    </row>
    <row r="10" spans="2:12" x14ac:dyDescent="0.2">
      <c r="B10" s="125">
        <v>5</v>
      </c>
      <c r="C10" s="129">
        <v>3744.38</v>
      </c>
      <c r="G10" t="s">
        <v>8</v>
      </c>
      <c r="H10">
        <v>0.88324929007439146</v>
      </c>
    </row>
    <row r="11" spans="2:12" x14ac:dyDescent="0.2">
      <c r="B11" s="125">
        <v>6</v>
      </c>
      <c r="C11" s="129">
        <v>3877.43</v>
      </c>
      <c r="G11" t="s">
        <v>9</v>
      </c>
      <c r="H11">
        <v>437.15990672770829</v>
      </c>
    </row>
    <row r="12" spans="2:12" ht="17" thickBot="1" x14ac:dyDescent="0.25">
      <c r="B12" s="125">
        <v>7</v>
      </c>
      <c r="C12" s="129">
        <v>4003.99</v>
      </c>
      <c r="G12" s="6" t="s">
        <v>10</v>
      </c>
      <c r="H12" s="6">
        <v>16</v>
      </c>
    </row>
    <row r="13" spans="2:12" x14ac:dyDescent="0.2">
      <c r="B13" s="125">
        <v>8</v>
      </c>
      <c r="C13" s="129">
        <v>4150.8599999999997</v>
      </c>
    </row>
    <row r="14" spans="2:12" ht="17" thickBot="1" x14ac:dyDescent="0.25">
      <c r="B14" s="125">
        <v>9</v>
      </c>
      <c r="C14" s="129">
        <v>4290.5200000000004</v>
      </c>
      <c r="G14" t="s">
        <v>11</v>
      </c>
    </row>
    <row r="15" spans="2:12" x14ac:dyDescent="0.2">
      <c r="B15" s="125">
        <v>10</v>
      </c>
      <c r="C15" s="129">
        <v>4527.8900000000003</v>
      </c>
      <c r="G15" s="7"/>
      <c r="H15" s="7" t="s">
        <v>12</v>
      </c>
      <c r="I15" s="7" t="s">
        <v>13</v>
      </c>
      <c r="J15" s="7" t="s">
        <v>14</v>
      </c>
      <c r="K15" s="7" t="s">
        <v>15</v>
      </c>
      <c r="L15" s="7" t="s">
        <v>16</v>
      </c>
    </row>
    <row r="16" spans="2:12" x14ac:dyDescent="0.2">
      <c r="B16" s="125">
        <v>11</v>
      </c>
      <c r="C16" s="129">
        <v>4834.76</v>
      </c>
      <c r="G16" t="s">
        <v>17</v>
      </c>
      <c r="H16">
        <v>1</v>
      </c>
      <c r="I16">
        <v>21877918.818891253</v>
      </c>
      <c r="J16">
        <v>21877918.818891253</v>
      </c>
      <c r="K16">
        <v>114.47887614180445</v>
      </c>
      <c r="L16">
        <v>4.0178029383994032E-8</v>
      </c>
    </row>
    <row r="17" spans="2:15" x14ac:dyDescent="0.2">
      <c r="B17" s="125">
        <v>12</v>
      </c>
      <c r="C17" s="129">
        <v>5181.63</v>
      </c>
      <c r="G17" t="s">
        <v>18</v>
      </c>
      <c r="H17">
        <v>14</v>
      </c>
      <c r="I17">
        <v>2675522.9767025006</v>
      </c>
      <c r="J17">
        <v>191108.78405017863</v>
      </c>
    </row>
    <row r="18" spans="2:15" ht="17" thickBot="1" x14ac:dyDescent="0.25">
      <c r="B18" s="125">
        <v>13</v>
      </c>
      <c r="C18" s="129">
        <v>5523.32</v>
      </c>
      <c r="G18" s="6" t="s">
        <v>19</v>
      </c>
      <c r="H18" s="6">
        <v>15</v>
      </c>
      <c r="I18" s="6">
        <v>24553441.795593753</v>
      </c>
      <c r="J18" s="6"/>
      <c r="K18" s="6"/>
      <c r="L18" s="6"/>
    </row>
    <row r="19" spans="2:15" ht="17" thickBot="1" x14ac:dyDescent="0.25">
      <c r="B19" s="125">
        <v>14</v>
      </c>
      <c r="C19" s="129">
        <v>6001.02</v>
      </c>
    </row>
    <row r="20" spans="2:15" x14ac:dyDescent="0.2">
      <c r="B20" s="125">
        <v>15</v>
      </c>
      <c r="C20" s="129">
        <v>6705.62</v>
      </c>
      <c r="G20" s="7"/>
      <c r="H20" s="7" t="s">
        <v>20</v>
      </c>
      <c r="I20" s="7" t="s">
        <v>9</v>
      </c>
      <c r="J20" s="7" t="s">
        <v>21</v>
      </c>
      <c r="K20" s="7" t="s">
        <v>22</v>
      </c>
      <c r="L20" s="7" t="s">
        <v>23</v>
      </c>
      <c r="M20" s="7" t="s">
        <v>24</v>
      </c>
      <c r="N20" s="7" t="s">
        <v>25</v>
      </c>
      <c r="O20" s="7" t="s">
        <v>26</v>
      </c>
    </row>
    <row r="21" spans="2:15" ht="17" thickBot="1" x14ac:dyDescent="0.25">
      <c r="B21" s="126">
        <v>16</v>
      </c>
      <c r="C21" s="130">
        <v>7595.3</v>
      </c>
      <c r="G21" t="s">
        <v>27</v>
      </c>
      <c r="H21">
        <v>2467.0069999999992</v>
      </c>
      <c r="I21">
        <v>229.2485891206293</v>
      </c>
      <c r="J21">
        <v>10.761274516293202</v>
      </c>
      <c r="K21" s="37">
        <v>3.7371091042974518E-8</v>
      </c>
      <c r="L21">
        <v>1975.3176778301349</v>
      </c>
      <c r="M21">
        <v>2958.6963221698634</v>
      </c>
      <c r="N21">
        <v>1975.3176778301349</v>
      </c>
      <c r="O21">
        <v>2958.6963221698634</v>
      </c>
    </row>
    <row r="22" spans="2:15" ht="17" thickBot="1" x14ac:dyDescent="0.25">
      <c r="G22" s="6" t="s">
        <v>0</v>
      </c>
      <c r="H22" s="6">
        <v>253.66675000000004</v>
      </c>
      <c r="I22" s="6">
        <v>23.708324676600697</v>
      </c>
      <c r="J22" s="6">
        <v>10.699480180915542</v>
      </c>
      <c r="K22" s="128">
        <v>4.0178029383994032E-8</v>
      </c>
      <c r="L22" s="6">
        <v>202.81745084079367</v>
      </c>
      <c r="M22" s="6">
        <v>304.51604915920637</v>
      </c>
      <c r="N22" s="6">
        <v>202.81745084079367</v>
      </c>
      <c r="O22" s="6">
        <v>304.51604915920637</v>
      </c>
    </row>
    <row r="29" spans="2:15" x14ac:dyDescent="0.2">
      <c r="B29" t="s">
        <v>101</v>
      </c>
      <c r="C29" s="120">
        <f>H9</f>
        <v>0.89103267073609871</v>
      </c>
    </row>
    <row r="30" spans="2:15" x14ac:dyDescent="0.2">
      <c r="B30" t="s">
        <v>103</v>
      </c>
      <c r="C30" s="120">
        <f>H11/AVERAGE(C6:C21)</f>
        <v>9.4558385920217064E-2</v>
      </c>
    </row>
    <row r="31" spans="2:15" x14ac:dyDescent="0.2">
      <c r="B31" t="s">
        <v>115</v>
      </c>
    </row>
    <row r="34" spans="2:12" ht="27" x14ac:dyDescent="0.35">
      <c r="B34" s="127" t="s">
        <v>116</v>
      </c>
      <c r="C34" s="27"/>
    </row>
    <row r="36" spans="2:12" ht="17" thickBot="1" x14ac:dyDescent="0.25"/>
    <row r="37" spans="2:12" ht="86" thickBot="1" x14ac:dyDescent="0.25">
      <c r="B37" s="134" t="s">
        <v>0</v>
      </c>
      <c r="C37" s="183" t="s">
        <v>29</v>
      </c>
      <c r="D37" s="3" t="s">
        <v>125</v>
      </c>
      <c r="G37" t="s">
        <v>4</v>
      </c>
    </row>
    <row r="38" spans="2:12" ht="17" thickBot="1" x14ac:dyDescent="0.25">
      <c r="B38" s="131">
        <v>1</v>
      </c>
      <c r="C38" s="184">
        <v>3158.48</v>
      </c>
      <c r="D38" s="108">
        <f>1/B38</f>
        <v>1</v>
      </c>
    </row>
    <row r="39" spans="2:12" x14ac:dyDescent="0.2">
      <c r="B39" s="125">
        <v>2</v>
      </c>
      <c r="C39" s="185">
        <v>3315.38</v>
      </c>
      <c r="D39" s="173">
        <f t="shared" ref="D39:D53" si="0">1/B39</f>
        <v>0.5</v>
      </c>
      <c r="G39" s="8" t="s">
        <v>5</v>
      </c>
      <c r="H39" s="8"/>
    </row>
    <row r="40" spans="2:12" x14ac:dyDescent="0.2">
      <c r="B40" s="125">
        <v>3</v>
      </c>
      <c r="C40" s="185">
        <v>3435</v>
      </c>
      <c r="D40" s="173">
        <f t="shared" si="0"/>
        <v>0.33333333333333331</v>
      </c>
      <c r="G40" t="s">
        <v>6</v>
      </c>
      <c r="H40">
        <v>0.58421060175793582</v>
      </c>
    </row>
    <row r="41" spans="2:12" x14ac:dyDescent="0.2">
      <c r="B41" s="125">
        <v>4</v>
      </c>
      <c r="C41" s="185">
        <v>3625.21</v>
      </c>
      <c r="D41" s="173">
        <f t="shared" si="0"/>
        <v>0.25</v>
      </c>
      <c r="G41" t="s">
        <v>7</v>
      </c>
      <c r="H41">
        <v>0.34130202720636954</v>
      </c>
    </row>
    <row r="42" spans="2:12" x14ac:dyDescent="0.2">
      <c r="B42" s="125">
        <v>5</v>
      </c>
      <c r="C42" s="185">
        <v>3744.38</v>
      </c>
      <c r="D42" s="173">
        <f t="shared" si="0"/>
        <v>0.2</v>
      </c>
      <c r="G42" t="s">
        <v>8</v>
      </c>
      <c r="H42">
        <v>0.29425217200682452</v>
      </c>
    </row>
    <row r="43" spans="2:12" x14ac:dyDescent="0.2">
      <c r="B43" s="125">
        <v>6</v>
      </c>
      <c r="C43" s="185">
        <v>3877.43</v>
      </c>
      <c r="D43" s="173">
        <f t="shared" si="0"/>
        <v>0.16666666666666666</v>
      </c>
      <c r="G43" t="s">
        <v>9</v>
      </c>
      <c r="H43">
        <v>1074.8189992427297</v>
      </c>
    </row>
    <row r="44" spans="2:12" ht="17" thickBot="1" x14ac:dyDescent="0.25">
      <c r="B44" s="125">
        <v>7</v>
      </c>
      <c r="C44" s="185">
        <v>4003.99</v>
      </c>
      <c r="D44" s="173">
        <f t="shared" si="0"/>
        <v>0.14285714285714285</v>
      </c>
      <c r="G44" s="6" t="s">
        <v>10</v>
      </c>
      <c r="H44" s="6">
        <v>16</v>
      </c>
    </row>
    <row r="45" spans="2:12" x14ac:dyDescent="0.2">
      <c r="B45" s="125">
        <v>8</v>
      </c>
      <c r="C45" s="185">
        <v>4150.8599999999997</v>
      </c>
      <c r="D45" s="173">
        <f t="shared" si="0"/>
        <v>0.125</v>
      </c>
    </row>
    <row r="46" spans="2:12" ht="17" thickBot="1" x14ac:dyDescent="0.25">
      <c r="B46" s="125">
        <v>9</v>
      </c>
      <c r="C46" s="185">
        <v>4290.5200000000004</v>
      </c>
      <c r="D46" s="173">
        <f t="shared" si="0"/>
        <v>0.1111111111111111</v>
      </c>
      <c r="G46" t="s">
        <v>11</v>
      </c>
    </row>
    <row r="47" spans="2:12" x14ac:dyDescent="0.2">
      <c r="B47" s="125">
        <v>10</v>
      </c>
      <c r="C47" s="185">
        <v>4527.8900000000003</v>
      </c>
      <c r="D47" s="173">
        <f t="shared" si="0"/>
        <v>0.1</v>
      </c>
      <c r="G47" s="7"/>
      <c r="H47" s="7" t="s">
        <v>12</v>
      </c>
      <c r="I47" s="7" t="s">
        <v>13</v>
      </c>
      <c r="J47" s="7" t="s">
        <v>14</v>
      </c>
      <c r="K47" s="7" t="s">
        <v>15</v>
      </c>
      <c r="L47" s="7" t="s">
        <v>16</v>
      </c>
    </row>
    <row r="48" spans="2:12" x14ac:dyDescent="0.2">
      <c r="B48" s="125">
        <v>11</v>
      </c>
      <c r="C48" s="185">
        <v>4834.76</v>
      </c>
      <c r="D48" s="173">
        <f t="shared" si="0"/>
        <v>9.0909090909090912E-2</v>
      </c>
      <c r="G48" t="s">
        <v>17</v>
      </c>
      <c r="H48">
        <v>1</v>
      </c>
      <c r="I48">
        <v>8380139.4597297497</v>
      </c>
      <c r="J48">
        <v>8380139.4597297497</v>
      </c>
      <c r="K48">
        <v>7.2540505333939871</v>
      </c>
      <c r="L48">
        <v>1.7483336558985492E-2</v>
      </c>
    </row>
    <row r="49" spans="2:15" x14ac:dyDescent="0.2">
      <c r="B49" s="125">
        <v>12</v>
      </c>
      <c r="C49" s="185">
        <v>5181.63</v>
      </c>
      <c r="D49" s="173">
        <f t="shared" si="0"/>
        <v>8.3333333333333329E-2</v>
      </c>
      <c r="G49" t="s">
        <v>18</v>
      </c>
      <c r="H49">
        <v>14</v>
      </c>
      <c r="I49">
        <v>16173302.335864004</v>
      </c>
      <c r="J49">
        <v>1155235.8811331431</v>
      </c>
    </row>
    <row r="50" spans="2:15" ht="17" thickBot="1" x14ac:dyDescent="0.25">
      <c r="B50" s="125">
        <v>13</v>
      </c>
      <c r="C50" s="185">
        <v>5523.32</v>
      </c>
      <c r="D50" s="173">
        <f t="shared" si="0"/>
        <v>7.6923076923076927E-2</v>
      </c>
      <c r="G50" s="6" t="s">
        <v>19</v>
      </c>
      <c r="H50" s="6">
        <v>15</v>
      </c>
      <c r="I50" s="6">
        <v>24553441.795593753</v>
      </c>
      <c r="J50" s="6"/>
      <c r="K50" s="6"/>
      <c r="L50" s="6"/>
    </row>
    <row r="51" spans="2:15" ht="17" thickBot="1" x14ac:dyDescent="0.25">
      <c r="B51" s="125">
        <v>14</v>
      </c>
      <c r="C51" s="185">
        <v>6001.02</v>
      </c>
      <c r="D51" s="173">
        <f t="shared" si="0"/>
        <v>7.1428571428571425E-2</v>
      </c>
    </row>
    <row r="52" spans="2:15" x14ac:dyDescent="0.2">
      <c r="B52" s="125">
        <v>15</v>
      </c>
      <c r="C52" s="185">
        <v>6705.62</v>
      </c>
      <c r="D52" s="173">
        <f t="shared" si="0"/>
        <v>6.6666666666666666E-2</v>
      </c>
      <c r="G52" s="7"/>
      <c r="H52" s="7" t="s">
        <v>20</v>
      </c>
      <c r="I52" s="7" t="s">
        <v>9</v>
      </c>
      <c r="J52" s="7" t="s">
        <v>21</v>
      </c>
      <c r="K52" s="7" t="s">
        <v>22</v>
      </c>
      <c r="L52" s="7" t="s">
        <v>23</v>
      </c>
      <c r="M52" s="7" t="s">
        <v>24</v>
      </c>
      <c r="N52" s="7" t="s">
        <v>25</v>
      </c>
      <c r="O52" s="7" t="s">
        <v>26</v>
      </c>
    </row>
    <row r="53" spans="2:15" ht="17" thickBot="1" x14ac:dyDescent="0.25">
      <c r="B53" s="126">
        <v>16</v>
      </c>
      <c r="C53" s="186">
        <v>7595.3</v>
      </c>
      <c r="D53" s="174">
        <f t="shared" si="0"/>
        <v>6.25E-2</v>
      </c>
      <c r="G53" t="s">
        <v>27</v>
      </c>
      <c r="H53">
        <v>5278.9465762088739</v>
      </c>
      <c r="I53">
        <v>362.60804589449242</v>
      </c>
      <c r="J53">
        <v>14.558272040507568</v>
      </c>
      <c r="K53" s="37">
        <v>7.5533608001384153E-10</v>
      </c>
      <c r="L53">
        <v>4501.2296664424784</v>
      </c>
      <c r="M53">
        <v>6056.6634859752694</v>
      </c>
      <c r="N53">
        <v>4501.2296664424784</v>
      </c>
      <c r="O53">
        <v>6056.6634859752694</v>
      </c>
    </row>
    <row r="54" spans="2:15" ht="17" thickBot="1" x14ac:dyDescent="0.25">
      <c r="G54" s="6" t="s">
        <v>125</v>
      </c>
      <c r="H54" s="6">
        <v>-3103.5777314171983</v>
      </c>
      <c r="I54" s="6">
        <v>1152.3179810149177</v>
      </c>
      <c r="J54" s="6">
        <v>-2.6933344637073922</v>
      </c>
      <c r="K54" s="128">
        <v>1.7483336558985492E-2</v>
      </c>
      <c r="L54" s="6">
        <v>-5575.0539973463146</v>
      </c>
      <c r="M54" s="6">
        <v>-632.10146548808166</v>
      </c>
      <c r="N54" s="6">
        <v>-5575.0539973463146</v>
      </c>
      <c r="O54" s="6">
        <v>-632.10146548808166</v>
      </c>
    </row>
    <row r="58" spans="2:15" x14ac:dyDescent="0.2">
      <c r="B58" t="s">
        <v>119</v>
      </c>
    </row>
    <row r="63" spans="2:15" x14ac:dyDescent="0.2">
      <c r="B63" t="s">
        <v>117</v>
      </c>
    </row>
    <row r="73" spans="2:3" x14ac:dyDescent="0.2">
      <c r="B73" t="s">
        <v>101</v>
      </c>
      <c r="C73" s="120">
        <f>H41</f>
        <v>0.34130202720636954</v>
      </c>
    </row>
    <row r="74" spans="2:3" x14ac:dyDescent="0.2">
      <c r="B74" t="s">
        <v>103</v>
      </c>
      <c r="C74" s="120">
        <f>H43/AVERAGE(C38:C53)</f>
        <v>0.2324850659007924</v>
      </c>
    </row>
    <row r="75" spans="2:3" x14ac:dyDescent="0.2">
      <c r="B75" t="s">
        <v>115</v>
      </c>
    </row>
    <row r="78" spans="2:3" ht="27" x14ac:dyDescent="0.35">
      <c r="B78" s="127" t="s">
        <v>118</v>
      </c>
      <c r="C78" s="27"/>
    </row>
    <row r="80" spans="2:3" ht="17" thickBot="1" x14ac:dyDescent="0.25"/>
    <row r="81" spans="2:15" ht="86" thickBot="1" x14ac:dyDescent="0.25">
      <c r="B81" s="134" t="s">
        <v>0</v>
      </c>
      <c r="C81" s="2" t="s">
        <v>126</v>
      </c>
      <c r="D81" s="133" t="s">
        <v>29</v>
      </c>
      <c r="G81" t="s">
        <v>4</v>
      </c>
    </row>
    <row r="82" spans="2:15" ht="17" thickBot="1" x14ac:dyDescent="0.25">
      <c r="B82" s="131">
        <v>1</v>
      </c>
      <c r="C82" s="97">
        <f t="shared" ref="C82:C97" si="1">B82^2</f>
        <v>1</v>
      </c>
      <c r="D82" s="132">
        <v>3158.48</v>
      </c>
    </row>
    <row r="83" spans="2:15" x14ac:dyDescent="0.2">
      <c r="B83" s="125">
        <v>2</v>
      </c>
      <c r="C83" s="90">
        <f t="shared" si="1"/>
        <v>4</v>
      </c>
      <c r="D83" s="129">
        <v>3315.38</v>
      </c>
      <c r="G83" s="8" t="s">
        <v>5</v>
      </c>
      <c r="H83" s="8"/>
    </row>
    <row r="84" spans="2:15" x14ac:dyDescent="0.2">
      <c r="B84" s="125">
        <v>3</v>
      </c>
      <c r="C84" s="90">
        <f t="shared" si="1"/>
        <v>9</v>
      </c>
      <c r="D84" s="129">
        <v>3435</v>
      </c>
      <c r="G84" t="s">
        <v>6</v>
      </c>
      <c r="H84">
        <v>0.99035591636443665</v>
      </c>
    </row>
    <row r="85" spans="2:15" x14ac:dyDescent="0.2">
      <c r="B85" s="125">
        <v>4</v>
      </c>
      <c r="C85" s="90">
        <f t="shared" si="1"/>
        <v>16</v>
      </c>
      <c r="D85" s="129">
        <v>3625.21</v>
      </c>
      <c r="G85" t="s">
        <v>7</v>
      </c>
      <c r="H85">
        <v>0.98080484107804311</v>
      </c>
    </row>
    <row r="86" spans="2:15" x14ac:dyDescent="0.2">
      <c r="B86" s="125">
        <v>5</v>
      </c>
      <c r="C86" s="90">
        <f t="shared" si="1"/>
        <v>25</v>
      </c>
      <c r="D86" s="129">
        <v>3744.38</v>
      </c>
      <c r="G86" t="s">
        <v>8</v>
      </c>
      <c r="H86">
        <v>0.97785173970543426</v>
      </c>
    </row>
    <row r="87" spans="2:15" x14ac:dyDescent="0.2">
      <c r="B87" s="125">
        <v>6</v>
      </c>
      <c r="C87" s="90">
        <f t="shared" si="1"/>
        <v>36</v>
      </c>
      <c r="D87" s="129">
        <v>3877.43</v>
      </c>
      <c r="G87" t="s">
        <v>9</v>
      </c>
      <c r="H87">
        <v>190.4058857662192</v>
      </c>
    </row>
    <row r="88" spans="2:15" ht="17" thickBot="1" x14ac:dyDescent="0.25">
      <c r="B88" s="125">
        <v>7</v>
      </c>
      <c r="C88" s="90">
        <f t="shared" si="1"/>
        <v>49</v>
      </c>
      <c r="D88" s="129">
        <v>4003.99</v>
      </c>
      <c r="G88" s="6" t="s">
        <v>10</v>
      </c>
      <c r="H88" s="6">
        <v>16</v>
      </c>
    </row>
    <row r="89" spans="2:15" x14ac:dyDescent="0.2">
      <c r="B89" s="125">
        <v>8</v>
      </c>
      <c r="C89" s="90">
        <f t="shared" si="1"/>
        <v>64</v>
      </c>
      <c r="D89" s="129">
        <v>4150.8599999999997</v>
      </c>
    </row>
    <row r="90" spans="2:15" ht="17" thickBot="1" x14ac:dyDescent="0.25">
      <c r="B90" s="125">
        <v>9</v>
      </c>
      <c r="C90" s="90">
        <f t="shared" si="1"/>
        <v>81</v>
      </c>
      <c r="D90" s="129">
        <v>4290.5200000000004</v>
      </c>
      <c r="G90" t="s">
        <v>11</v>
      </c>
    </row>
    <row r="91" spans="2:15" x14ac:dyDescent="0.2">
      <c r="B91" s="125">
        <v>10</v>
      </c>
      <c r="C91" s="90">
        <f t="shared" si="1"/>
        <v>100</v>
      </c>
      <c r="D91" s="129">
        <v>4527.8900000000003</v>
      </c>
      <c r="G91" s="7"/>
      <c r="H91" s="7" t="s">
        <v>12</v>
      </c>
      <c r="I91" s="7" t="s">
        <v>13</v>
      </c>
      <c r="J91" s="7" t="s">
        <v>14</v>
      </c>
      <c r="K91" s="7" t="s">
        <v>15</v>
      </c>
      <c r="L91" s="7" t="s">
        <v>16</v>
      </c>
    </row>
    <row r="92" spans="2:15" x14ac:dyDescent="0.2">
      <c r="B92" s="125">
        <v>11</v>
      </c>
      <c r="C92" s="90">
        <f t="shared" si="1"/>
        <v>121</v>
      </c>
      <c r="D92" s="129">
        <v>4834.76</v>
      </c>
      <c r="G92" t="s">
        <v>17</v>
      </c>
      <c r="H92">
        <v>2</v>
      </c>
      <c r="I92">
        <v>24082134.578246314</v>
      </c>
      <c r="J92">
        <v>12041067.289123157</v>
      </c>
      <c r="K92">
        <v>332.12704791491996</v>
      </c>
      <c r="L92">
        <v>6.9302057532413991E-12</v>
      </c>
    </row>
    <row r="93" spans="2:15" x14ac:dyDescent="0.2">
      <c r="B93" s="125">
        <v>12</v>
      </c>
      <c r="C93" s="90">
        <f t="shared" si="1"/>
        <v>144</v>
      </c>
      <c r="D93" s="129">
        <v>5181.63</v>
      </c>
      <c r="G93" t="s">
        <v>18</v>
      </c>
      <c r="H93">
        <v>13</v>
      </c>
      <c r="I93">
        <v>471307.21734744066</v>
      </c>
      <c r="J93">
        <v>36254.401334418515</v>
      </c>
    </row>
    <row r="94" spans="2:15" ht="17" thickBot="1" x14ac:dyDescent="0.25">
      <c r="B94" s="125">
        <v>13</v>
      </c>
      <c r="C94" s="90">
        <f t="shared" si="1"/>
        <v>169</v>
      </c>
      <c r="D94" s="129">
        <v>5523.32</v>
      </c>
      <c r="G94" s="6" t="s">
        <v>19</v>
      </c>
      <c r="H94" s="6">
        <v>15</v>
      </c>
      <c r="I94" s="6">
        <v>24553441.795593753</v>
      </c>
      <c r="J94" s="6"/>
      <c r="K94" s="6"/>
      <c r="L94" s="6"/>
    </row>
    <row r="95" spans="2:15" ht="17" thickBot="1" x14ac:dyDescent="0.25">
      <c r="B95" s="125">
        <v>14</v>
      </c>
      <c r="C95" s="90">
        <f t="shared" si="1"/>
        <v>196</v>
      </c>
      <c r="D95" s="129">
        <v>6001.02</v>
      </c>
    </row>
    <row r="96" spans="2:15" x14ac:dyDescent="0.2">
      <c r="B96" s="125">
        <v>15</v>
      </c>
      <c r="C96" s="90">
        <f t="shared" si="1"/>
        <v>225</v>
      </c>
      <c r="D96" s="129">
        <v>6705.62</v>
      </c>
      <c r="G96" s="7"/>
      <c r="H96" s="7" t="s">
        <v>20</v>
      </c>
      <c r="I96" s="7" t="s">
        <v>9</v>
      </c>
      <c r="J96" s="7" t="s">
        <v>21</v>
      </c>
      <c r="K96" s="7" t="s">
        <v>22</v>
      </c>
      <c r="L96" s="7" t="s">
        <v>23</v>
      </c>
      <c r="M96" s="7" t="s">
        <v>24</v>
      </c>
      <c r="N96" s="7" t="s">
        <v>25</v>
      </c>
      <c r="O96" s="7" t="s">
        <v>26</v>
      </c>
    </row>
    <row r="97" spans="2:15" ht="17" thickBot="1" x14ac:dyDescent="0.25">
      <c r="B97" s="126">
        <v>16</v>
      </c>
      <c r="C97" s="94">
        <f t="shared" si="1"/>
        <v>256</v>
      </c>
      <c r="D97" s="130">
        <v>7595.3</v>
      </c>
      <c r="F97" t="s">
        <v>38</v>
      </c>
      <c r="G97" t="s">
        <v>27</v>
      </c>
      <c r="H97">
        <v>3468.8579821428566</v>
      </c>
      <c r="I97">
        <v>162.72265046576061</v>
      </c>
      <c r="J97">
        <v>21.317609885372157</v>
      </c>
      <c r="K97" s="37">
        <v>1.6956459228847287E-11</v>
      </c>
      <c r="L97">
        <v>3117.3170683800768</v>
      </c>
      <c r="M97">
        <v>3820.3988959056364</v>
      </c>
      <c r="N97">
        <v>3117.3170683800768</v>
      </c>
      <c r="O97">
        <v>3820.3988959056364</v>
      </c>
    </row>
    <row r="98" spans="2:15" x14ac:dyDescent="0.2">
      <c r="F98" t="s">
        <v>120</v>
      </c>
      <c r="G98" t="s">
        <v>0</v>
      </c>
      <c r="H98">
        <v>-80.283577380952337</v>
      </c>
      <c r="I98">
        <v>44.055994594098962</v>
      </c>
      <c r="J98">
        <v>-1.8223076818632495</v>
      </c>
      <c r="K98" s="37">
        <v>9.148451131701836E-2</v>
      </c>
      <c r="L98">
        <v>-175.46076723133797</v>
      </c>
      <c r="M98">
        <v>14.893612469433293</v>
      </c>
      <c r="N98">
        <v>-175.46076723133797</v>
      </c>
      <c r="O98">
        <v>14.893612469433293</v>
      </c>
    </row>
    <row r="99" spans="2:15" ht="17" thickBot="1" x14ac:dyDescent="0.25">
      <c r="F99" t="s">
        <v>39</v>
      </c>
      <c r="G99" s="6" t="s">
        <v>126</v>
      </c>
      <c r="H99" s="6">
        <v>19.644136904761904</v>
      </c>
      <c r="I99" s="6">
        <v>2.519337027304227</v>
      </c>
      <c r="J99" s="6">
        <v>7.7973437820591132</v>
      </c>
      <c r="K99" s="128">
        <v>2.9580896964097903E-6</v>
      </c>
      <c r="L99" s="6">
        <v>14.201440155907704</v>
      </c>
      <c r="M99" s="6">
        <v>25.086833653616104</v>
      </c>
      <c r="N99" s="6">
        <v>14.201440155907704</v>
      </c>
      <c r="O99" s="6">
        <v>25.086833653616104</v>
      </c>
    </row>
    <row r="103" spans="2:15" x14ac:dyDescent="0.2">
      <c r="B103" t="s">
        <v>119</v>
      </c>
    </row>
    <row r="106" spans="2:15" x14ac:dyDescent="0.2">
      <c r="K106" t="s">
        <v>128</v>
      </c>
      <c r="L106">
        <f>(H98^2)-4*H97*H99</f>
        <v>-266125.43162047822</v>
      </c>
    </row>
    <row r="107" spans="2:15" x14ac:dyDescent="0.2">
      <c r="K107" t="s">
        <v>121</v>
      </c>
      <c r="L107">
        <f>-H98/(2*H99)</f>
        <v>2.0434488359091745</v>
      </c>
    </row>
    <row r="108" spans="2:15" x14ac:dyDescent="0.2">
      <c r="B108" t="s">
        <v>117</v>
      </c>
      <c r="K108" t="s">
        <v>122</v>
      </c>
      <c r="L108">
        <f>-L106/(4*H99)</f>
        <v>3386.8302907719908</v>
      </c>
    </row>
    <row r="114" spans="2:8" x14ac:dyDescent="0.2">
      <c r="B114" t="s">
        <v>101</v>
      </c>
      <c r="C114" s="120">
        <f>H85</f>
        <v>0.98080484107804311</v>
      </c>
    </row>
    <row r="115" spans="2:8" x14ac:dyDescent="0.2">
      <c r="B115" t="s">
        <v>103</v>
      </c>
      <c r="C115" s="120">
        <f>H87/AVERAGE(D82:D97)</f>
        <v>4.1185097147935119E-2</v>
      </c>
    </row>
    <row r="116" spans="2:8" x14ac:dyDescent="0.2">
      <c r="B116" t="s">
        <v>127</v>
      </c>
    </row>
    <row r="119" spans="2:8" ht="27" x14ac:dyDescent="0.35">
      <c r="B119" s="127" t="s">
        <v>129</v>
      </c>
      <c r="C119" s="27"/>
    </row>
    <row r="121" spans="2:8" ht="17" thickBot="1" x14ac:dyDescent="0.25"/>
    <row r="122" spans="2:8" ht="86" thickBot="1" x14ac:dyDescent="0.25">
      <c r="B122" s="134" t="s">
        <v>0</v>
      </c>
      <c r="C122" s="183" t="s">
        <v>29</v>
      </c>
      <c r="D122" s="3" t="s">
        <v>130</v>
      </c>
      <c r="G122" t="s">
        <v>4</v>
      </c>
    </row>
    <row r="123" spans="2:8" ht="17" thickBot="1" x14ac:dyDescent="0.25">
      <c r="B123" s="131">
        <v>1</v>
      </c>
      <c r="C123" s="184">
        <v>3158.48</v>
      </c>
      <c r="D123" s="108">
        <f>LN(C123)</f>
        <v>8.0578461781990303</v>
      </c>
    </row>
    <row r="124" spans="2:8" x14ac:dyDescent="0.2">
      <c r="B124" s="125">
        <v>2</v>
      </c>
      <c r="C124" s="185">
        <v>3315.38</v>
      </c>
      <c r="D124" s="173">
        <f t="shared" ref="D124:D138" si="2">LN(C124)</f>
        <v>8.1063275265179637</v>
      </c>
      <c r="G124" s="8" t="s">
        <v>5</v>
      </c>
      <c r="H124" s="8"/>
    </row>
    <row r="125" spans="2:8" x14ac:dyDescent="0.2">
      <c r="B125" s="125">
        <v>3</v>
      </c>
      <c r="C125" s="185">
        <v>3435</v>
      </c>
      <c r="D125" s="173">
        <f t="shared" si="2"/>
        <v>8.1417722046564496</v>
      </c>
      <c r="G125" t="s">
        <v>6</v>
      </c>
      <c r="H125">
        <v>0.97723180046121616</v>
      </c>
    </row>
    <row r="126" spans="2:8" x14ac:dyDescent="0.2">
      <c r="B126" s="125">
        <v>4</v>
      </c>
      <c r="C126" s="185">
        <v>3625.21</v>
      </c>
      <c r="D126" s="173">
        <f t="shared" si="2"/>
        <v>8.1956674966453207</v>
      </c>
      <c r="G126" t="s">
        <v>7</v>
      </c>
      <c r="H126">
        <v>0.9549819918326703</v>
      </c>
    </row>
    <row r="127" spans="2:8" x14ac:dyDescent="0.2">
      <c r="B127" s="125">
        <v>5</v>
      </c>
      <c r="C127" s="185">
        <v>3744.38</v>
      </c>
      <c r="D127" s="173">
        <f t="shared" si="2"/>
        <v>8.2280113281736362</v>
      </c>
      <c r="G127" t="s">
        <v>8</v>
      </c>
      <c r="H127">
        <v>0.95176641982071808</v>
      </c>
    </row>
    <row r="128" spans="2:8" x14ac:dyDescent="0.2">
      <c r="B128" s="125">
        <v>6</v>
      </c>
      <c r="C128" s="185">
        <v>3877.43</v>
      </c>
      <c r="D128" s="173">
        <f t="shared" si="2"/>
        <v>8.2629278420186214</v>
      </c>
      <c r="G128" t="s">
        <v>9</v>
      </c>
      <c r="H128">
        <v>5.6683793097061785E-2</v>
      </c>
    </row>
    <row r="129" spans="2:15" ht="17" thickBot="1" x14ac:dyDescent="0.25">
      <c r="B129" s="125">
        <v>7</v>
      </c>
      <c r="C129" s="185">
        <v>4003.99</v>
      </c>
      <c r="D129" s="173">
        <f t="shared" si="2"/>
        <v>8.2950466429294956</v>
      </c>
      <c r="G129" s="6" t="s">
        <v>10</v>
      </c>
      <c r="H129" s="6">
        <v>16</v>
      </c>
    </row>
    <row r="130" spans="2:15" x14ac:dyDescent="0.2">
      <c r="B130" s="125">
        <v>8</v>
      </c>
      <c r="C130" s="185">
        <v>4150.8599999999997</v>
      </c>
      <c r="D130" s="173">
        <f t="shared" si="2"/>
        <v>8.3310708206714601</v>
      </c>
    </row>
    <row r="131" spans="2:15" ht="17" thickBot="1" x14ac:dyDescent="0.25">
      <c r="B131" s="125">
        <v>9</v>
      </c>
      <c r="C131" s="185">
        <v>4290.5200000000004</v>
      </c>
      <c r="D131" s="173">
        <f t="shared" si="2"/>
        <v>8.3641632166976798</v>
      </c>
      <c r="G131" t="s">
        <v>11</v>
      </c>
    </row>
    <row r="132" spans="2:15" x14ac:dyDescent="0.2">
      <c r="B132" s="125">
        <v>10</v>
      </c>
      <c r="C132" s="185">
        <v>4527.8900000000003</v>
      </c>
      <c r="D132" s="173">
        <f t="shared" si="2"/>
        <v>8.4180113263017127</v>
      </c>
      <c r="G132" s="7"/>
      <c r="H132" s="7" t="s">
        <v>12</v>
      </c>
      <c r="I132" s="7" t="s">
        <v>13</v>
      </c>
      <c r="J132" s="7" t="s">
        <v>14</v>
      </c>
      <c r="K132" s="7" t="s">
        <v>15</v>
      </c>
      <c r="L132" s="7" t="s">
        <v>16</v>
      </c>
    </row>
    <row r="133" spans="2:15" x14ac:dyDescent="0.2">
      <c r="B133" s="125">
        <v>11</v>
      </c>
      <c r="C133" s="185">
        <v>4834.76</v>
      </c>
      <c r="D133" s="173">
        <f t="shared" si="2"/>
        <v>8.4835867685995421</v>
      </c>
      <c r="G133" t="s">
        <v>17</v>
      </c>
      <c r="H133">
        <v>1</v>
      </c>
      <c r="I133">
        <v>0.95423370065604574</v>
      </c>
      <c r="J133">
        <v>0.95423370065604574</v>
      </c>
      <c r="K133">
        <v>296.98666000420747</v>
      </c>
      <c r="L133">
        <v>8.0087034088050919E-11</v>
      </c>
    </row>
    <row r="134" spans="2:15" x14ac:dyDescent="0.2">
      <c r="B134" s="125">
        <v>12</v>
      </c>
      <c r="C134" s="185">
        <v>5181.63</v>
      </c>
      <c r="D134" s="173">
        <f t="shared" si="2"/>
        <v>8.5528749575694096</v>
      </c>
      <c r="G134" t="s">
        <v>18</v>
      </c>
      <c r="H134">
        <v>14</v>
      </c>
      <c r="I134">
        <v>4.4982733598187129E-2</v>
      </c>
      <c r="J134">
        <v>3.2130523998705092E-3</v>
      </c>
    </row>
    <row r="135" spans="2:15" ht="17" thickBot="1" x14ac:dyDescent="0.25">
      <c r="B135" s="125">
        <v>13</v>
      </c>
      <c r="C135" s="185">
        <v>5523.32</v>
      </c>
      <c r="D135" s="173">
        <f t="shared" si="2"/>
        <v>8.6167344077483783</v>
      </c>
      <c r="G135" s="6" t="s">
        <v>19</v>
      </c>
      <c r="H135" s="6">
        <v>15</v>
      </c>
      <c r="I135" s="6">
        <v>0.9992164342542329</v>
      </c>
      <c r="J135" s="6"/>
      <c r="K135" s="6"/>
      <c r="L135" s="6"/>
    </row>
    <row r="136" spans="2:15" ht="17" thickBot="1" x14ac:dyDescent="0.25">
      <c r="B136" s="125">
        <v>14</v>
      </c>
      <c r="C136" s="185">
        <v>6001.02</v>
      </c>
      <c r="D136" s="173">
        <f t="shared" si="2"/>
        <v>8.6996847337618295</v>
      </c>
    </row>
    <row r="137" spans="2:15" x14ac:dyDescent="0.2">
      <c r="B137" s="125">
        <v>15</v>
      </c>
      <c r="C137" s="185">
        <v>6705.62</v>
      </c>
      <c r="D137" s="173">
        <f t="shared" si="2"/>
        <v>8.8107012597480825</v>
      </c>
      <c r="G137" s="7"/>
      <c r="H137" s="7" t="s">
        <v>20</v>
      </c>
      <c r="I137" s="7" t="s">
        <v>9</v>
      </c>
      <c r="J137" s="7" t="s">
        <v>21</v>
      </c>
      <c r="K137" s="7" t="s">
        <v>22</v>
      </c>
      <c r="L137" s="7" t="s">
        <v>23</v>
      </c>
      <c r="M137" s="7" t="s">
        <v>24</v>
      </c>
      <c r="N137" s="7" t="s">
        <v>25</v>
      </c>
      <c r="O137" s="7" t="s">
        <v>26</v>
      </c>
    </row>
    <row r="138" spans="2:15" ht="17" thickBot="1" x14ac:dyDescent="0.25">
      <c r="B138" s="126">
        <v>16</v>
      </c>
      <c r="C138" s="186">
        <v>7595.3</v>
      </c>
      <c r="D138" s="174">
        <f t="shared" si="2"/>
        <v>8.9352849139206185</v>
      </c>
      <c r="G138" t="s">
        <v>27</v>
      </c>
      <c r="H138">
        <v>7.9559269006009528</v>
      </c>
      <c r="I138">
        <v>2.9725231874022276E-2</v>
      </c>
      <c r="J138">
        <v>267.64894330576652</v>
      </c>
      <c r="K138" s="37">
        <v>2.2779762200722787E-27</v>
      </c>
      <c r="L138">
        <v>7.8921726189822801</v>
      </c>
      <c r="M138">
        <v>8.0196811822196263</v>
      </c>
      <c r="N138">
        <v>7.8921726189822801</v>
      </c>
      <c r="O138">
        <v>8.0196811822196263</v>
      </c>
    </row>
    <row r="139" spans="2:15" ht="17" thickBot="1" x14ac:dyDescent="0.25">
      <c r="G139" s="6" t="s">
        <v>0</v>
      </c>
      <c r="H139" s="6">
        <v>5.2977067753999921E-2</v>
      </c>
      <c r="I139" s="6">
        <v>3.0741102968608988E-3</v>
      </c>
      <c r="J139" s="6">
        <v>17.23330090273501</v>
      </c>
      <c r="K139" s="128">
        <v>8.0087034088051203E-11</v>
      </c>
      <c r="L139" s="6">
        <v>4.6383756912101615E-2</v>
      </c>
      <c r="M139" s="6">
        <v>5.9570378595898227E-2</v>
      </c>
      <c r="N139" s="6">
        <v>4.6383756912101615E-2</v>
      </c>
      <c r="O139" s="6">
        <v>5.9570378595898227E-2</v>
      </c>
    </row>
    <row r="143" spans="2:15" x14ac:dyDescent="0.2">
      <c r="B143" t="s">
        <v>119</v>
      </c>
    </row>
    <row r="144" spans="2:15" x14ac:dyDescent="0.2">
      <c r="K144" t="s">
        <v>131</v>
      </c>
      <c r="L144">
        <f>EXP(H138)</f>
        <v>2852.4310241455801</v>
      </c>
    </row>
    <row r="148" spans="2:3" x14ac:dyDescent="0.2">
      <c r="B148" t="s">
        <v>117</v>
      </c>
    </row>
    <row r="154" spans="2:3" x14ac:dyDescent="0.2">
      <c r="B154" s="78" t="s">
        <v>101</v>
      </c>
      <c r="C154" s="138">
        <f>H126</f>
        <v>0.9549819918326703</v>
      </c>
    </row>
    <row r="155" spans="2:3" x14ac:dyDescent="0.2">
      <c r="B155" s="78" t="s">
        <v>103</v>
      </c>
      <c r="C155" s="138">
        <f>H128/AVERAGE(D123:D138)</f>
        <v>6.7430679114562596E-3</v>
      </c>
    </row>
    <row r="156" spans="2:3" x14ac:dyDescent="0.2">
      <c r="B156" s="78" t="s">
        <v>115</v>
      </c>
      <c r="C156" s="78"/>
    </row>
    <row r="159" spans="2:3" ht="27" x14ac:dyDescent="0.35">
      <c r="B159" s="127" t="s">
        <v>132</v>
      </c>
      <c r="C159" s="27"/>
    </row>
    <row r="161" spans="2:12" ht="17" thickBot="1" x14ac:dyDescent="0.25"/>
    <row r="162" spans="2:12" ht="86" thickBot="1" x14ac:dyDescent="0.25">
      <c r="B162" s="134" t="s">
        <v>0</v>
      </c>
      <c r="C162" s="133" t="s">
        <v>29</v>
      </c>
      <c r="G162" t="s">
        <v>4</v>
      </c>
    </row>
    <row r="163" spans="2:12" ht="17" thickBot="1" x14ac:dyDescent="0.25">
      <c r="B163" s="131">
        <v>1</v>
      </c>
      <c r="C163" s="132">
        <v>3158.48</v>
      </c>
    </row>
    <row r="164" spans="2:12" x14ac:dyDescent="0.2">
      <c r="B164" s="125">
        <v>2</v>
      </c>
      <c r="C164" s="129">
        <v>3315.38</v>
      </c>
      <c r="G164" s="8" t="s">
        <v>5</v>
      </c>
      <c r="H164" s="8"/>
    </row>
    <row r="165" spans="2:12" x14ac:dyDescent="0.2">
      <c r="B165" s="125">
        <v>3</v>
      </c>
      <c r="C165" s="129">
        <v>3435</v>
      </c>
      <c r="G165" t="s">
        <v>6</v>
      </c>
      <c r="H165">
        <v>0.86885677068360856</v>
      </c>
    </row>
    <row r="166" spans="2:12" x14ac:dyDescent="0.2">
      <c r="B166" s="125">
        <v>4</v>
      </c>
      <c r="C166" s="129">
        <v>3625.21</v>
      </c>
      <c r="G166" t="s">
        <v>7</v>
      </c>
      <c r="H166">
        <v>0.75491208796274867</v>
      </c>
    </row>
    <row r="167" spans="2:12" x14ac:dyDescent="0.2">
      <c r="B167" s="125">
        <v>5</v>
      </c>
      <c r="C167" s="129">
        <v>3744.38</v>
      </c>
      <c r="G167" t="s">
        <v>8</v>
      </c>
      <c r="H167">
        <v>0.73740580853151638</v>
      </c>
    </row>
    <row r="168" spans="2:12" x14ac:dyDescent="0.2">
      <c r="B168" s="125">
        <v>6</v>
      </c>
      <c r="C168" s="129">
        <v>3877.43</v>
      </c>
      <c r="G168" t="s">
        <v>9</v>
      </c>
      <c r="H168">
        <v>0.13225944998499764</v>
      </c>
    </row>
    <row r="169" spans="2:12" ht="17" thickBot="1" x14ac:dyDescent="0.25">
      <c r="B169" s="125">
        <v>7</v>
      </c>
      <c r="C169" s="129">
        <v>4003.99</v>
      </c>
      <c r="G169" s="6" t="s">
        <v>10</v>
      </c>
      <c r="H169" s="6">
        <v>16</v>
      </c>
    </row>
    <row r="170" spans="2:12" x14ac:dyDescent="0.2">
      <c r="B170" s="125">
        <v>8</v>
      </c>
      <c r="C170" s="129">
        <v>4150.8599999999997</v>
      </c>
    </row>
    <row r="171" spans="2:12" ht="17" thickBot="1" x14ac:dyDescent="0.25">
      <c r="B171" s="125">
        <v>9</v>
      </c>
      <c r="C171" s="129">
        <v>4290.5200000000004</v>
      </c>
      <c r="G171" t="s">
        <v>11</v>
      </c>
    </row>
    <row r="172" spans="2:12" x14ac:dyDescent="0.2">
      <c r="B172" s="125">
        <v>10</v>
      </c>
      <c r="C172" s="129">
        <v>4527.8900000000003</v>
      </c>
      <c r="G172" s="7"/>
      <c r="H172" s="7" t="s">
        <v>12</v>
      </c>
      <c r="I172" s="7" t="s">
        <v>13</v>
      </c>
      <c r="J172" s="7" t="s">
        <v>14</v>
      </c>
      <c r="K172" s="7" t="s">
        <v>15</v>
      </c>
      <c r="L172" s="7" t="s">
        <v>16</v>
      </c>
    </row>
    <row r="173" spans="2:12" x14ac:dyDescent="0.2">
      <c r="B173" s="125">
        <v>11</v>
      </c>
      <c r="C173" s="129">
        <v>4834.76</v>
      </c>
      <c r="G173" t="s">
        <v>17</v>
      </c>
      <c r="H173">
        <v>1</v>
      </c>
      <c r="I173">
        <v>0.75432056470955555</v>
      </c>
      <c r="J173">
        <v>0.75432056470955555</v>
      </c>
      <c r="K173">
        <v>43.122360232405576</v>
      </c>
      <c r="L173">
        <v>1.2559722994640342E-5</v>
      </c>
    </row>
    <row r="174" spans="2:12" x14ac:dyDescent="0.2">
      <c r="B174" s="125">
        <v>12</v>
      </c>
      <c r="C174" s="129">
        <v>5181.63</v>
      </c>
      <c r="G174" t="s">
        <v>18</v>
      </c>
      <c r="H174">
        <v>14</v>
      </c>
      <c r="I174">
        <v>0.24489586954467735</v>
      </c>
      <c r="J174">
        <v>1.7492562110334096E-2</v>
      </c>
    </row>
    <row r="175" spans="2:12" ht="17" thickBot="1" x14ac:dyDescent="0.25">
      <c r="B175" s="125">
        <v>13</v>
      </c>
      <c r="C175" s="129">
        <v>5523.32</v>
      </c>
      <c r="G175" s="6" t="s">
        <v>19</v>
      </c>
      <c r="H175" s="6">
        <v>15</v>
      </c>
      <c r="I175" s="6">
        <v>0.9992164342542329</v>
      </c>
      <c r="J175" s="6"/>
      <c r="K175" s="6"/>
      <c r="L175" s="6"/>
    </row>
    <row r="176" spans="2:12" ht="17" thickBot="1" x14ac:dyDescent="0.25">
      <c r="B176" s="125">
        <v>14</v>
      </c>
      <c r="C176" s="129">
        <v>6001.02</v>
      </c>
    </row>
    <row r="177" spans="1:15" x14ac:dyDescent="0.2">
      <c r="B177" s="125">
        <v>15</v>
      </c>
      <c r="C177" s="129">
        <v>6705.62</v>
      </c>
      <c r="G177" s="7"/>
      <c r="H177" s="7" t="s">
        <v>20</v>
      </c>
      <c r="I177" s="7" t="s">
        <v>9</v>
      </c>
      <c r="J177" s="7" t="s">
        <v>21</v>
      </c>
      <c r="K177" s="7" t="s">
        <v>22</v>
      </c>
      <c r="L177" s="7" t="s">
        <v>23</v>
      </c>
      <c r="M177" s="7" t="s">
        <v>24</v>
      </c>
      <c r="N177" s="7" t="s">
        <v>25</v>
      </c>
      <c r="O177" s="7" t="s">
        <v>26</v>
      </c>
    </row>
    <row r="178" spans="1:15" ht="17" thickBot="1" x14ac:dyDescent="0.25">
      <c r="B178" s="126">
        <v>16</v>
      </c>
      <c r="C178" s="130">
        <v>7595.3</v>
      </c>
      <c r="G178" t="s">
        <v>27</v>
      </c>
      <c r="H178">
        <v>7.8614939896926961</v>
      </c>
      <c r="I178">
        <v>8.9300737387480886E-2</v>
      </c>
      <c r="J178">
        <v>88.033920208085576</v>
      </c>
      <c r="K178" s="37">
        <v>1.2995084504645521E-20</v>
      </c>
      <c r="L178">
        <v>7.6699629569227836</v>
      </c>
      <c r="M178">
        <v>8.0530250224626094</v>
      </c>
      <c r="N178">
        <v>7.6699629569227836</v>
      </c>
      <c r="O178">
        <v>8.0530250224626094</v>
      </c>
    </row>
    <row r="179" spans="1:15" ht="17" thickBot="1" x14ac:dyDescent="0.25">
      <c r="G179" s="6" t="s">
        <v>133</v>
      </c>
      <c r="H179" s="6">
        <v>0.28416300018752982</v>
      </c>
      <c r="I179" s="6">
        <v>4.3272926573066195E-2</v>
      </c>
      <c r="J179" s="6">
        <v>6.5667617767363513</v>
      </c>
      <c r="K179" s="128">
        <v>1.2559722994640362E-5</v>
      </c>
      <c r="L179" s="6">
        <v>0.19135180332637283</v>
      </c>
      <c r="M179" s="6">
        <v>0.37697419704868679</v>
      </c>
      <c r="N179" s="6">
        <v>0.19135180332637283</v>
      </c>
      <c r="O179" s="6">
        <v>0.37697419704868679</v>
      </c>
    </row>
    <row r="180" spans="1:15" ht="17" thickBot="1" x14ac:dyDescent="0.25"/>
    <row r="181" spans="1:15" ht="17" thickBot="1" x14ac:dyDescent="0.25">
      <c r="B181" s="103" t="s">
        <v>134</v>
      </c>
      <c r="C181" s="3" t="s">
        <v>130</v>
      </c>
    </row>
    <row r="182" spans="1:15" x14ac:dyDescent="0.2">
      <c r="A182">
        <v>1</v>
      </c>
      <c r="B182" s="131">
        <f>LN(B163)</f>
        <v>0</v>
      </c>
      <c r="C182" s="108">
        <f>LN(C163)</f>
        <v>8.0578461781990303</v>
      </c>
    </row>
    <row r="183" spans="1:15" x14ac:dyDescent="0.2">
      <c r="A183">
        <v>2</v>
      </c>
      <c r="B183" s="125">
        <f t="shared" ref="B183:C197" si="3">LN(B164)</f>
        <v>0.69314718055994529</v>
      </c>
      <c r="C183" s="173">
        <f t="shared" si="3"/>
        <v>8.1063275265179637</v>
      </c>
    </row>
    <row r="184" spans="1:15" x14ac:dyDescent="0.2">
      <c r="A184">
        <v>3</v>
      </c>
      <c r="B184" s="125">
        <f t="shared" si="3"/>
        <v>1.0986122886681098</v>
      </c>
      <c r="C184" s="173">
        <f t="shared" si="3"/>
        <v>8.1417722046564496</v>
      </c>
      <c r="G184" t="s">
        <v>119</v>
      </c>
    </row>
    <row r="185" spans="1:15" x14ac:dyDescent="0.2">
      <c r="A185">
        <v>4</v>
      </c>
      <c r="B185" s="125">
        <f t="shared" si="3"/>
        <v>1.3862943611198906</v>
      </c>
      <c r="C185" s="173">
        <f t="shared" si="3"/>
        <v>8.1956674966453207</v>
      </c>
    </row>
    <row r="186" spans="1:15" x14ac:dyDescent="0.2">
      <c r="A186">
        <v>5</v>
      </c>
      <c r="B186" s="125">
        <f t="shared" si="3"/>
        <v>1.6094379124341003</v>
      </c>
      <c r="C186" s="173">
        <f t="shared" si="3"/>
        <v>8.2280113281736362</v>
      </c>
      <c r="L186" t="s">
        <v>135</v>
      </c>
      <c r="M186">
        <f>EXP(H178)</f>
        <v>2595.3949737261464</v>
      </c>
    </row>
    <row r="187" spans="1:15" x14ac:dyDescent="0.2">
      <c r="A187">
        <v>6</v>
      </c>
      <c r="B187" s="125">
        <f t="shared" si="3"/>
        <v>1.791759469228055</v>
      </c>
      <c r="C187" s="173">
        <f t="shared" si="3"/>
        <v>8.2629278420186214</v>
      </c>
    </row>
    <row r="188" spans="1:15" x14ac:dyDescent="0.2">
      <c r="A188">
        <v>7</v>
      </c>
      <c r="B188" s="125">
        <f t="shared" si="3"/>
        <v>1.9459101490553132</v>
      </c>
      <c r="C188" s="173">
        <f t="shared" si="3"/>
        <v>8.2950466429294956</v>
      </c>
    </row>
    <row r="189" spans="1:15" x14ac:dyDescent="0.2">
      <c r="A189">
        <v>8</v>
      </c>
      <c r="B189" s="125">
        <f t="shared" si="3"/>
        <v>2.0794415416798357</v>
      </c>
      <c r="C189" s="173">
        <f t="shared" si="3"/>
        <v>8.3310708206714601</v>
      </c>
      <c r="G189" t="s">
        <v>117</v>
      </c>
    </row>
    <row r="190" spans="1:15" x14ac:dyDescent="0.2">
      <c r="A190">
        <v>9</v>
      </c>
      <c r="B190" s="125">
        <f t="shared" si="3"/>
        <v>2.1972245773362196</v>
      </c>
      <c r="C190" s="173">
        <f t="shared" si="3"/>
        <v>8.3641632166976798</v>
      </c>
    </row>
    <row r="191" spans="1:15" x14ac:dyDescent="0.2">
      <c r="A191">
        <v>10</v>
      </c>
      <c r="B191" s="125">
        <f t="shared" si="3"/>
        <v>2.3025850929940459</v>
      </c>
      <c r="C191" s="173">
        <f t="shared" si="3"/>
        <v>8.4180113263017127</v>
      </c>
    </row>
    <row r="192" spans="1:15" x14ac:dyDescent="0.2">
      <c r="A192">
        <v>11</v>
      </c>
      <c r="B192" s="125">
        <f t="shared" si="3"/>
        <v>2.3978952727983707</v>
      </c>
      <c r="C192" s="173">
        <f t="shared" si="3"/>
        <v>8.4835867685995421</v>
      </c>
    </row>
    <row r="193" spans="1:14" x14ac:dyDescent="0.2">
      <c r="A193">
        <v>12</v>
      </c>
      <c r="B193" s="125">
        <f t="shared" si="3"/>
        <v>2.4849066497880004</v>
      </c>
      <c r="C193" s="173">
        <f t="shared" si="3"/>
        <v>8.5528749575694096</v>
      </c>
    </row>
    <row r="194" spans="1:14" x14ac:dyDescent="0.2">
      <c r="A194">
        <v>13</v>
      </c>
      <c r="B194" s="125">
        <f t="shared" si="3"/>
        <v>2.5649493574615367</v>
      </c>
      <c r="C194" s="173">
        <f t="shared" si="3"/>
        <v>8.6167344077483783</v>
      </c>
    </row>
    <row r="195" spans="1:14" x14ac:dyDescent="0.2">
      <c r="A195">
        <v>14</v>
      </c>
      <c r="B195" s="125">
        <f t="shared" si="3"/>
        <v>2.6390573296152584</v>
      </c>
      <c r="C195" s="173">
        <f t="shared" si="3"/>
        <v>8.6996847337618295</v>
      </c>
    </row>
    <row r="196" spans="1:14" x14ac:dyDescent="0.2">
      <c r="A196">
        <v>15</v>
      </c>
      <c r="B196" s="125">
        <f t="shared" si="3"/>
        <v>2.7080502011022101</v>
      </c>
      <c r="C196" s="173">
        <f t="shared" si="3"/>
        <v>8.8107012597480825</v>
      </c>
      <c r="G196" t="s">
        <v>101</v>
      </c>
      <c r="H196" s="120">
        <f>H166</f>
        <v>0.75491208796274867</v>
      </c>
    </row>
    <row r="197" spans="1:14" ht="17" thickBot="1" x14ac:dyDescent="0.25">
      <c r="A197">
        <v>16</v>
      </c>
      <c r="B197" s="126">
        <f t="shared" si="3"/>
        <v>2.7725887222397811</v>
      </c>
      <c r="C197" s="174">
        <f t="shared" si="3"/>
        <v>8.9352849139206185</v>
      </c>
      <c r="G197" t="s">
        <v>103</v>
      </c>
      <c r="H197" s="120">
        <f>H168/AVERAGE(C182:C197)</f>
        <v>1.5733499902760035E-2</v>
      </c>
    </row>
    <row r="198" spans="1:14" x14ac:dyDescent="0.2">
      <c r="G198" t="s">
        <v>115</v>
      </c>
    </row>
    <row r="202" spans="1:14" ht="17" thickBot="1" x14ac:dyDescent="0.25"/>
    <row r="203" spans="1:14" ht="24" x14ac:dyDescent="0.3">
      <c r="B203" s="139" t="s">
        <v>146</v>
      </c>
      <c r="C203" s="69"/>
      <c r="D203" s="69"/>
      <c r="E203" s="69"/>
      <c r="F203" s="69"/>
      <c r="G203" s="69"/>
      <c r="H203" s="69"/>
      <c r="I203" s="69"/>
      <c r="J203" s="69"/>
      <c r="K203" s="69"/>
      <c r="L203" s="70"/>
    </row>
    <row r="204" spans="1:14" x14ac:dyDescent="0.2">
      <c r="B204" s="71"/>
      <c r="L204" s="72"/>
    </row>
    <row r="205" spans="1:14" x14ac:dyDescent="0.2">
      <c r="B205" s="71"/>
      <c r="L205" s="72"/>
    </row>
    <row r="206" spans="1:14" x14ac:dyDescent="0.2">
      <c r="B206" s="71"/>
      <c r="L206" s="72"/>
      <c r="N206" s="144"/>
    </row>
    <row r="207" spans="1:14" ht="24" x14ac:dyDescent="0.3">
      <c r="B207" s="140" t="s">
        <v>101</v>
      </c>
      <c r="C207" s="141">
        <f>C154</f>
        <v>0.9549819918326703</v>
      </c>
      <c r="E207" t="s">
        <v>232</v>
      </c>
      <c r="L207" s="72"/>
    </row>
    <row r="208" spans="1:14" ht="24" x14ac:dyDescent="0.3">
      <c r="B208" s="140" t="s">
        <v>103</v>
      </c>
      <c r="C208" s="141">
        <f>C155</f>
        <v>6.7430679114562596E-3</v>
      </c>
      <c r="E208" t="s">
        <v>233</v>
      </c>
      <c r="L208" s="72"/>
    </row>
    <row r="209" spans="2:12" ht="25" thickBot="1" x14ac:dyDescent="0.35">
      <c r="B209" s="142" t="s">
        <v>115</v>
      </c>
      <c r="C209" s="143"/>
      <c r="D209" s="6"/>
      <c r="E209" s="6"/>
      <c r="F209" s="6"/>
      <c r="G209" s="6"/>
      <c r="H209" s="6"/>
      <c r="I209" s="6"/>
      <c r="J209" s="6"/>
      <c r="K209" s="6"/>
      <c r="L209" s="7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207"/>
  <sheetViews>
    <sheetView zoomScale="117" workbookViewId="0">
      <selection activeCell="G114" sqref="G114"/>
    </sheetView>
  </sheetViews>
  <sheetFormatPr baseColWidth="10" defaultColWidth="11.5" defaultRowHeight="16" x14ac:dyDescent="0.2"/>
  <sheetData>
    <row r="2" spans="2:12" ht="32" x14ac:dyDescent="0.4">
      <c r="B2" s="135" t="s">
        <v>114</v>
      </c>
      <c r="C2" s="27"/>
    </row>
    <row r="4" spans="2:12" ht="17" thickBot="1" x14ac:dyDescent="0.25">
      <c r="B4" t="s">
        <v>138</v>
      </c>
      <c r="C4" t="s">
        <v>123</v>
      </c>
    </row>
    <row r="5" spans="2:12" ht="52" thickBot="1" x14ac:dyDescent="0.25">
      <c r="B5" s="30" t="s">
        <v>0</v>
      </c>
      <c r="C5" s="111" t="s">
        <v>154</v>
      </c>
      <c r="G5" t="s">
        <v>4</v>
      </c>
    </row>
    <row r="6" spans="2:12" ht="17" thickBot="1" x14ac:dyDescent="0.25">
      <c r="B6" s="34">
        <v>1</v>
      </c>
      <c r="C6" s="187">
        <v>104.2</v>
      </c>
    </row>
    <row r="7" spans="2:12" x14ac:dyDescent="0.2">
      <c r="B7" s="34">
        <v>2</v>
      </c>
      <c r="C7" s="187">
        <v>103.5</v>
      </c>
      <c r="G7" s="8" t="s">
        <v>5</v>
      </c>
      <c r="H7" s="8"/>
    </row>
    <row r="8" spans="2:12" x14ac:dyDescent="0.2">
      <c r="B8" s="34">
        <v>3</v>
      </c>
      <c r="C8" s="187">
        <v>102.6</v>
      </c>
      <c r="G8" t="s">
        <v>6</v>
      </c>
      <c r="H8">
        <v>0.46333708453251043</v>
      </c>
    </row>
    <row r="9" spans="2:12" x14ac:dyDescent="0.2">
      <c r="B9" s="34">
        <v>4</v>
      </c>
      <c r="C9" s="187">
        <v>104.3</v>
      </c>
      <c r="G9" t="s">
        <v>7</v>
      </c>
      <c r="H9">
        <v>0.21468125390308673</v>
      </c>
    </row>
    <row r="10" spans="2:12" x14ac:dyDescent="0.2">
      <c r="B10" s="34">
        <v>5</v>
      </c>
      <c r="C10" s="187">
        <v>103.7</v>
      </c>
      <c r="G10" t="s">
        <v>8</v>
      </c>
      <c r="H10">
        <v>0.15858705775330723</v>
      </c>
    </row>
    <row r="11" spans="2:12" x14ac:dyDescent="0.2">
      <c r="B11" s="34">
        <v>6</v>
      </c>
      <c r="C11" s="187">
        <v>100.9</v>
      </c>
      <c r="G11" t="s">
        <v>9</v>
      </c>
      <c r="H11">
        <v>3.7299769357432337</v>
      </c>
    </row>
    <row r="12" spans="2:12" ht="17" thickBot="1" x14ac:dyDescent="0.25">
      <c r="B12" s="34">
        <v>7</v>
      </c>
      <c r="C12" s="187">
        <v>100</v>
      </c>
      <c r="G12" s="6" t="s">
        <v>10</v>
      </c>
      <c r="H12" s="6">
        <v>16</v>
      </c>
    </row>
    <row r="13" spans="2:12" x14ac:dyDescent="0.2">
      <c r="B13" s="34">
        <v>8</v>
      </c>
      <c r="C13" s="187">
        <v>99.1</v>
      </c>
    </row>
    <row r="14" spans="2:12" ht="17" thickBot="1" x14ac:dyDescent="0.25">
      <c r="B14" s="34">
        <v>9</v>
      </c>
      <c r="C14" s="187">
        <v>99.4</v>
      </c>
      <c r="G14" t="s">
        <v>11</v>
      </c>
    </row>
    <row r="15" spans="2:12" x14ac:dyDescent="0.2">
      <c r="B15" s="34">
        <v>10</v>
      </c>
      <c r="C15" s="187">
        <v>102</v>
      </c>
      <c r="G15" s="7"/>
      <c r="H15" s="7" t="s">
        <v>12</v>
      </c>
      <c r="I15" s="7" t="s">
        <v>13</v>
      </c>
      <c r="J15" s="7" t="s">
        <v>14</v>
      </c>
      <c r="K15" s="7" t="s">
        <v>15</v>
      </c>
      <c r="L15" s="7" t="s">
        <v>16</v>
      </c>
    </row>
    <row r="16" spans="2:12" x14ac:dyDescent="0.2">
      <c r="B16" s="34">
        <v>11</v>
      </c>
      <c r="C16" s="187">
        <v>101.6</v>
      </c>
      <c r="G16" t="s">
        <v>17</v>
      </c>
      <c r="H16">
        <v>1</v>
      </c>
      <c r="I16">
        <v>53.246183823529435</v>
      </c>
      <c r="J16">
        <v>53.246183823529435</v>
      </c>
      <c r="K16">
        <v>3.8271562592653452</v>
      </c>
      <c r="L16">
        <v>7.0680729484072183E-2</v>
      </c>
    </row>
    <row r="17" spans="2:15" x14ac:dyDescent="0.2">
      <c r="B17" s="34">
        <v>12</v>
      </c>
      <c r="C17" s="187">
        <v>102.3</v>
      </c>
      <c r="G17" t="s">
        <v>18</v>
      </c>
      <c r="H17">
        <v>14</v>
      </c>
      <c r="I17">
        <v>194.77819117647076</v>
      </c>
      <c r="J17">
        <v>13.912727941176483</v>
      </c>
    </row>
    <row r="18" spans="2:15" ht="17" thickBot="1" x14ac:dyDescent="0.25">
      <c r="B18" s="34">
        <v>13</v>
      </c>
      <c r="C18" s="187">
        <v>103.4</v>
      </c>
      <c r="G18" s="6" t="s">
        <v>19</v>
      </c>
      <c r="H18" s="6">
        <v>15</v>
      </c>
      <c r="I18" s="6">
        <v>248.02437500000019</v>
      </c>
      <c r="J18" s="6"/>
      <c r="K18" s="6"/>
      <c r="L18" s="6"/>
    </row>
    <row r="19" spans="2:15" ht="17" thickBot="1" x14ac:dyDescent="0.25">
      <c r="B19" s="34">
        <v>14</v>
      </c>
      <c r="C19" s="187">
        <v>105.1</v>
      </c>
    </row>
    <row r="20" spans="2:15" x14ac:dyDescent="0.2">
      <c r="B20" s="34">
        <v>15</v>
      </c>
      <c r="C20" s="187">
        <v>114.4</v>
      </c>
      <c r="G20" s="7"/>
      <c r="H20" s="7" t="s">
        <v>20</v>
      </c>
      <c r="I20" s="7" t="s">
        <v>9</v>
      </c>
      <c r="J20" s="7" t="s">
        <v>21</v>
      </c>
      <c r="K20" s="7" t="s">
        <v>22</v>
      </c>
      <c r="L20" s="7" t="s">
        <v>23</v>
      </c>
      <c r="M20" s="7" t="s">
        <v>24</v>
      </c>
      <c r="N20" s="7" t="s">
        <v>25</v>
      </c>
      <c r="O20" s="7" t="s">
        <v>26</v>
      </c>
    </row>
    <row r="21" spans="2:15" ht="17" thickBot="1" x14ac:dyDescent="0.25">
      <c r="B21" s="188">
        <v>16</v>
      </c>
      <c r="C21" s="189">
        <v>111.4</v>
      </c>
      <c r="G21" t="s">
        <v>27</v>
      </c>
      <c r="H21" s="37">
        <v>100.25500000000001</v>
      </c>
      <c r="I21">
        <v>1.956016406839046</v>
      </c>
      <c r="J21">
        <v>51.254682552491317</v>
      </c>
      <c r="K21" s="37">
        <v>2.4694797896695038E-17</v>
      </c>
      <c r="L21">
        <v>96.059762049262801</v>
      </c>
      <c r="M21">
        <v>104.45023795073722</v>
      </c>
      <c r="N21">
        <v>96.059762049262801</v>
      </c>
      <c r="O21">
        <v>104.45023795073722</v>
      </c>
    </row>
    <row r="22" spans="2:15" ht="17" thickBot="1" x14ac:dyDescent="0.25">
      <c r="G22" s="6" t="s">
        <v>0</v>
      </c>
      <c r="H22" s="128">
        <v>0.39573529411764718</v>
      </c>
      <c r="I22" s="6">
        <v>0.20228640108095197</v>
      </c>
      <c r="J22" s="6">
        <v>1.9563119023472066</v>
      </c>
      <c r="K22" s="128">
        <v>7.0680729484072058E-2</v>
      </c>
      <c r="L22" s="6">
        <v>-3.8125886067580356E-2</v>
      </c>
      <c r="M22" s="6">
        <v>0.82959647430287475</v>
      </c>
      <c r="N22" s="6">
        <v>-3.8125886067580356E-2</v>
      </c>
      <c r="O22" s="6">
        <v>0.82959647430287475</v>
      </c>
    </row>
    <row r="30" spans="2:15" x14ac:dyDescent="0.2">
      <c r="C30" t="s">
        <v>101</v>
      </c>
      <c r="D30" s="120">
        <f>H9</f>
        <v>0.21468125390308673</v>
      </c>
    </row>
    <row r="31" spans="2:15" x14ac:dyDescent="0.2">
      <c r="C31" t="s">
        <v>103</v>
      </c>
      <c r="D31" s="120">
        <f>H11/AVERAGE(C6:C21)</f>
        <v>3.5997123452495165E-2</v>
      </c>
    </row>
    <row r="32" spans="2:15" x14ac:dyDescent="0.2">
      <c r="C32" t="s">
        <v>137</v>
      </c>
    </row>
    <row r="36" spans="2:8" ht="32" x14ac:dyDescent="0.4">
      <c r="B36" s="135" t="s">
        <v>116</v>
      </c>
      <c r="C36" s="27"/>
    </row>
    <row r="38" spans="2:8" ht="17" thickBot="1" x14ac:dyDescent="0.25">
      <c r="B38" t="s">
        <v>138</v>
      </c>
      <c r="C38" t="s">
        <v>123</v>
      </c>
    </row>
    <row r="39" spans="2:8" ht="52" thickBot="1" x14ac:dyDescent="0.25">
      <c r="B39" s="30" t="s">
        <v>0</v>
      </c>
      <c r="C39" s="110" t="s">
        <v>154</v>
      </c>
      <c r="D39" s="3" t="s">
        <v>125</v>
      </c>
      <c r="G39" t="s">
        <v>4</v>
      </c>
    </row>
    <row r="40" spans="2:8" ht="17" thickBot="1" x14ac:dyDescent="0.25">
      <c r="B40" s="34">
        <v>1</v>
      </c>
      <c r="C40" s="113">
        <v>104.2</v>
      </c>
      <c r="D40" s="108">
        <f>1/B40</f>
        <v>1</v>
      </c>
    </row>
    <row r="41" spans="2:8" x14ac:dyDescent="0.2">
      <c r="B41" s="34">
        <v>2</v>
      </c>
      <c r="C41" s="113">
        <v>103.5</v>
      </c>
      <c r="D41" s="173">
        <f t="shared" ref="D41:D55" si="0">1/B41</f>
        <v>0.5</v>
      </c>
      <c r="G41" s="8" t="s">
        <v>5</v>
      </c>
      <c r="H41" s="8"/>
    </row>
    <row r="42" spans="2:8" x14ac:dyDescent="0.2">
      <c r="B42" s="34">
        <v>3</v>
      </c>
      <c r="C42" s="113">
        <v>102.6</v>
      </c>
      <c r="D42" s="173">
        <f t="shared" si="0"/>
        <v>0.33333333333333331</v>
      </c>
      <c r="G42" t="s">
        <v>6</v>
      </c>
      <c r="H42">
        <v>5.4192576739532927E-2</v>
      </c>
    </row>
    <row r="43" spans="2:8" x14ac:dyDescent="0.2">
      <c r="B43" s="34">
        <v>4</v>
      </c>
      <c r="C43" s="113">
        <v>104.3</v>
      </c>
      <c r="D43" s="173">
        <f t="shared" si="0"/>
        <v>0.25</v>
      </c>
      <c r="G43" t="s">
        <v>7</v>
      </c>
      <c r="H43">
        <v>2.9368353736701652E-3</v>
      </c>
    </row>
    <row r="44" spans="2:8" x14ac:dyDescent="0.2">
      <c r="B44" s="34">
        <v>5</v>
      </c>
      <c r="C44" s="113">
        <v>103.7</v>
      </c>
      <c r="D44" s="173">
        <f t="shared" si="0"/>
        <v>0.2</v>
      </c>
      <c r="G44" t="s">
        <v>8</v>
      </c>
      <c r="H44">
        <v>-6.8281962099639118E-2</v>
      </c>
    </row>
    <row r="45" spans="2:8" x14ac:dyDescent="0.2">
      <c r="B45" s="34">
        <v>6</v>
      </c>
      <c r="C45" s="113">
        <v>100.9</v>
      </c>
      <c r="D45" s="173">
        <f t="shared" si="0"/>
        <v>0.16666666666666666</v>
      </c>
      <c r="G45" t="s">
        <v>9</v>
      </c>
      <c r="H45">
        <v>4.202855901832601</v>
      </c>
    </row>
    <row r="46" spans="2:8" ht="17" thickBot="1" x14ac:dyDescent="0.25">
      <c r="B46" s="34">
        <v>7</v>
      </c>
      <c r="C46" s="113">
        <v>100</v>
      </c>
      <c r="D46" s="173">
        <f t="shared" si="0"/>
        <v>0.14285714285714285</v>
      </c>
      <c r="G46" s="6" t="s">
        <v>10</v>
      </c>
      <c r="H46" s="6">
        <v>16</v>
      </c>
    </row>
    <row r="47" spans="2:8" x14ac:dyDescent="0.2">
      <c r="B47" s="34">
        <v>8</v>
      </c>
      <c r="C47" s="113">
        <v>99.1</v>
      </c>
      <c r="D47" s="173">
        <f t="shared" si="0"/>
        <v>0.125</v>
      </c>
    </row>
    <row r="48" spans="2:8" ht="17" thickBot="1" x14ac:dyDescent="0.25">
      <c r="B48" s="34">
        <v>9</v>
      </c>
      <c r="C48" s="113">
        <v>99.4</v>
      </c>
      <c r="D48" s="173">
        <f t="shared" si="0"/>
        <v>0.1111111111111111</v>
      </c>
      <c r="G48" t="s">
        <v>11</v>
      </c>
    </row>
    <row r="49" spans="2:15" x14ac:dyDescent="0.2">
      <c r="B49" s="34">
        <v>10</v>
      </c>
      <c r="C49" s="113">
        <v>102</v>
      </c>
      <c r="D49" s="173">
        <f t="shared" si="0"/>
        <v>0.1</v>
      </c>
      <c r="G49" s="7"/>
      <c r="H49" s="7" t="s">
        <v>12</v>
      </c>
      <c r="I49" s="7" t="s">
        <v>13</v>
      </c>
      <c r="J49" s="7" t="s">
        <v>14</v>
      </c>
      <c r="K49" s="7" t="s">
        <v>15</v>
      </c>
      <c r="L49" s="7" t="s">
        <v>16</v>
      </c>
    </row>
    <row r="50" spans="2:15" x14ac:dyDescent="0.2">
      <c r="B50" s="34">
        <v>11</v>
      </c>
      <c r="C50" s="113">
        <v>101.6</v>
      </c>
      <c r="D50" s="173">
        <f t="shared" si="0"/>
        <v>9.0909090909090912E-2</v>
      </c>
      <c r="G50" t="s">
        <v>17</v>
      </c>
      <c r="H50">
        <v>1</v>
      </c>
      <c r="I50">
        <v>0.72840675803243471</v>
      </c>
      <c r="J50">
        <v>0.72840675803243471</v>
      </c>
      <c r="K50">
        <v>4.1236800927041843E-2</v>
      </c>
      <c r="L50">
        <v>0.84200329676624319</v>
      </c>
    </row>
    <row r="51" spans="2:15" x14ac:dyDescent="0.2">
      <c r="B51" s="34">
        <v>12</v>
      </c>
      <c r="C51" s="113">
        <v>102.3</v>
      </c>
      <c r="D51" s="173">
        <f t="shared" si="0"/>
        <v>8.3333333333333329E-2</v>
      </c>
      <c r="G51" t="s">
        <v>18</v>
      </c>
      <c r="H51">
        <v>14</v>
      </c>
      <c r="I51">
        <v>247.29596824196776</v>
      </c>
      <c r="J51">
        <v>17.663997731569125</v>
      </c>
    </row>
    <row r="52" spans="2:15" ht="17" thickBot="1" x14ac:dyDescent="0.25">
      <c r="B52" s="34">
        <v>13</v>
      </c>
      <c r="C52" s="113">
        <v>103.4</v>
      </c>
      <c r="D52" s="173">
        <f t="shared" si="0"/>
        <v>7.6923076923076927E-2</v>
      </c>
      <c r="G52" s="6" t="s">
        <v>19</v>
      </c>
      <c r="H52" s="6">
        <v>15</v>
      </c>
      <c r="I52" s="6">
        <v>248.02437500000019</v>
      </c>
      <c r="J52" s="6"/>
      <c r="K52" s="6"/>
      <c r="L52" s="6"/>
    </row>
    <row r="53" spans="2:15" ht="17" thickBot="1" x14ac:dyDescent="0.25">
      <c r="B53" s="34">
        <v>14</v>
      </c>
      <c r="C53" s="113">
        <v>105.1</v>
      </c>
      <c r="D53" s="173">
        <f t="shared" si="0"/>
        <v>7.1428571428571425E-2</v>
      </c>
    </row>
    <row r="54" spans="2:15" x14ac:dyDescent="0.2">
      <c r="B54" s="34">
        <v>15</v>
      </c>
      <c r="C54" s="113">
        <v>114.4</v>
      </c>
      <c r="D54" s="173">
        <f t="shared" si="0"/>
        <v>6.6666666666666666E-2</v>
      </c>
      <c r="G54" s="7"/>
      <c r="H54" s="7" t="s">
        <v>20</v>
      </c>
      <c r="I54" s="7" t="s">
        <v>9</v>
      </c>
      <c r="J54" s="7" t="s">
        <v>21</v>
      </c>
      <c r="K54" s="7" t="s">
        <v>22</v>
      </c>
      <c r="L54" s="7" t="s">
        <v>23</v>
      </c>
      <c r="M54" s="7" t="s">
        <v>24</v>
      </c>
      <c r="N54" s="7" t="s">
        <v>25</v>
      </c>
      <c r="O54" s="7" t="s">
        <v>26</v>
      </c>
    </row>
    <row r="55" spans="2:15" ht="17" thickBot="1" x14ac:dyDescent="0.25">
      <c r="B55" s="188">
        <v>16</v>
      </c>
      <c r="C55" s="118">
        <v>111.4</v>
      </c>
      <c r="D55" s="174">
        <f t="shared" si="0"/>
        <v>6.25E-2</v>
      </c>
      <c r="G55" t="s">
        <v>27</v>
      </c>
      <c r="H55" s="37">
        <v>103.81208672727514</v>
      </c>
      <c r="I55">
        <v>1.4179032626082999</v>
      </c>
      <c r="J55">
        <v>73.215211125410576</v>
      </c>
      <c r="K55" s="37">
        <v>1.7067551711164571E-19</v>
      </c>
      <c r="L55">
        <v>100.77098668487764</v>
      </c>
      <c r="M55">
        <v>106.85318676967265</v>
      </c>
      <c r="N55">
        <v>100.77098668487764</v>
      </c>
      <c r="O55">
        <v>106.85318676967265</v>
      </c>
    </row>
    <row r="56" spans="2:15" ht="17" thickBot="1" x14ac:dyDescent="0.25">
      <c r="G56" s="6" t="s">
        <v>125</v>
      </c>
      <c r="H56" s="128">
        <v>-0.91500609560770652</v>
      </c>
      <c r="I56" s="6">
        <v>4.5058995335108127</v>
      </c>
      <c r="J56" s="6">
        <v>-0.20306846364476555</v>
      </c>
      <c r="K56" s="128">
        <v>0.84200329676623631</v>
      </c>
      <c r="L56" s="6">
        <v>-10.579199432176742</v>
      </c>
      <c r="M56" s="6">
        <v>8.74918724096133</v>
      </c>
      <c r="N56" s="6">
        <v>-10.579199432176742</v>
      </c>
      <c r="O56" s="6">
        <v>8.74918724096133</v>
      </c>
    </row>
    <row r="60" spans="2:15" x14ac:dyDescent="0.2">
      <c r="B60" t="s">
        <v>119</v>
      </c>
    </row>
    <row r="65" spans="2:3" x14ac:dyDescent="0.2">
      <c r="B65" t="s">
        <v>117</v>
      </c>
    </row>
    <row r="73" spans="2:3" x14ac:dyDescent="0.2">
      <c r="B73" t="s">
        <v>101</v>
      </c>
      <c r="C73" s="120">
        <f>H43</f>
        <v>2.9368353736701652E-3</v>
      </c>
    </row>
    <row r="74" spans="2:3" x14ac:dyDescent="0.2">
      <c r="B74" t="s">
        <v>103</v>
      </c>
      <c r="C74" s="120">
        <f>H45/AVERAGE(C40:C55)</f>
        <v>4.0560766288269261E-2</v>
      </c>
    </row>
    <row r="75" spans="2:3" x14ac:dyDescent="0.2">
      <c r="B75" t="s">
        <v>137</v>
      </c>
    </row>
    <row r="79" spans="2:3" ht="32" x14ac:dyDescent="0.4">
      <c r="B79" s="135" t="s">
        <v>118</v>
      </c>
      <c r="C79" s="27"/>
    </row>
    <row r="81" spans="2:12" ht="17" thickBot="1" x14ac:dyDescent="0.25">
      <c r="B81" t="s">
        <v>138</v>
      </c>
      <c r="D81" t="s">
        <v>123</v>
      </c>
    </row>
    <row r="82" spans="2:12" ht="52" thickBot="1" x14ac:dyDescent="0.25">
      <c r="B82" s="190" t="s">
        <v>0</v>
      </c>
      <c r="C82" s="192" t="s">
        <v>126</v>
      </c>
      <c r="D82" s="111" t="s">
        <v>154</v>
      </c>
      <c r="G82" t="s">
        <v>4</v>
      </c>
    </row>
    <row r="83" spans="2:12" ht="17" thickBot="1" x14ac:dyDescent="0.25">
      <c r="B83" s="191">
        <v>1</v>
      </c>
      <c r="C83" s="97">
        <f>B83^2</f>
        <v>1</v>
      </c>
      <c r="D83" s="187">
        <v>104.2</v>
      </c>
    </row>
    <row r="84" spans="2:12" x14ac:dyDescent="0.2">
      <c r="B84" s="191">
        <v>2</v>
      </c>
      <c r="C84" s="90">
        <f t="shared" ref="C84:C98" si="1">B84^2</f>
        <v>4</v>
      </c>
      <c r="D84" s="187">
        <v>103.5</v>
      </c>
      <c r="G84" s="8" t="s">
        <v>5</v>
      </c>
      <c r="H84" s="8"/>
    </row>
    <row r="85" spans="2:12" x14ac:dyDescent="0.2">
      <c r="B85" s="191">
        <v>3</v>
      </c>
      <c r="C85" s="90">
        <f t="shared" si="1"/>
        <v>9</v>
      </c>
      <c r="D85" s="187">
        <v>102.6</v>
      </c>
      <c r="G85" t="s">
        <v>6</v>
      </c>
      <c r="H85">
        <v>0.87644273581660193</v>
      </c>
    </row>
    <row r="86" spans="2:12" x14ac:dyDescent="0.2">
      <c r="B86" s="191">
        <v>4</v>
      </c>
      <c r="C86" s="90">
        <f t="shared" si="1"/>
        <v>16</v>
      </c>
      <c r="D86" s="187">
        <v>104.3</v>
      </c>
      <c r="G86" t="s">
        <v>7</v>
      </c>
      <c r="H86">
        <v>0.76815186916568978</v>
      </c>
    </row>
    <row r="87" spans="2:12" x14ac:dyDescent="0.2">
      <c r="B87" s="191">
        <v>5</v>
      </c>
      <c r="C87" s="90">
        <f t="shared" si="1"/>
        <v>25</v>
      </c>
      <c r="D87" s="187">
        <v>103.7</v>
      </c>
      <c r="G87" t="s">
        <v>8</v>
      </c>
      <c r="H87">
        <v>0.73248292596041131</v>
      </c>
    </row>
    <row r="88" spans="2:12" x14ac:dyDescent="0.2">
      <c r="B88" s="191">
        <v>6</v>
      </c>
      <c r="C88" s="90">
        <f t="shared" si="1"/>
        <v>36</v>
      </c>
      <c r="D88" s="187">
        <v>100.9</v>
      </c>
      <c r="G88" t="s">
        <v>9</v>
      </c>
      <c r="H88">
        <v>2.1031841746979394</v>
      </c>
    </row>
    <row r="89" spans="2:12" ht="17" thickBot="1" x14ac:dyDescent="0.25">
      <c r="B89" s="191">
        <v>7</v>
      </c>
      <c r="C89" s="90">
        <f t="shared" si="1"/>
        <v>49</v>
      </c>
      <c r="D89" s="187">
        <v>100</v>
      </c>
      <c r="G89" s="6" t="s">
        <v>10</v>
      </c>
      <c r="H89" s="6">
        <v>16</v>
      </c>
    </row>
    <row r="90" spans="2:12" x14ac:dyDescent="0.2">
      <c r="B90" s="191">
        <v>8</v>
      </c>
      <c r="C90" s="90">
        <f t="shared" si="1"/>
        <v>64</v>
      </c>
      <c r="D90" s="187">
        <v>99.1</v>
      </c>
    </row>
    <row r="91" spans="2:12" ht="17" thickBot="1" x14ac:dyDescent="0.25">
      <c r="B91" s="191">
        <v>9</v>
      </c>
      <c r="C91" s="90">
        <f t="shared" si="1"/>
        <v>81</v>
      </c>
      <c r="D91" s="187">
        <v>99.4</v>
      </c>
      <c r="G91" t="s">
        <v>11</v>
      </c>
    </row>
    <row r="92" spans="2:12" x14ac:dyDescent="0.2">
      <c r="B92" s="191">
        <v>10</v>
      </c>
      <c r="C92" s="90">
        <f t="shared" si="1"/>
        <v>100</v>
      </c>
      <c r="D92" s="187">
        <v>102</v>
      </c>
      <c r="G92" s="7"/>
      <c r="H92" s="7" t="s">
        <v>12</v>
      </c>
      <c r="I92" s="7" t="s">
        <v>13</v>
      </c>
      <c r="J92" s="7" t="s">
        <v>14</v>
      </c>
      <c r="K92" s="7" t="s">
        <v>15</v>
      </c>
      <c r="L92" s="7" t="s">
        <v>16</v>
      </c>
    </row>
    <row r="93" spans="2:12" x14ac:dyDescent="0.2">
      <c r="B93" s="191">
        <v>11</v>
      </c>
      <c r="C93" s="90">
        <f t="shared" si="1"/>
        <v>121</v>
      </c>
      <c r="D93" s="187">
        <v>101.6</v>
      </c>
      <c r="G93" t="s">
        <v>17</v>
      </c>
      <c r="H93">
        <v>2</v>
      </c>
      <c r="I93">
        <v>190.52038725490212</v>
      </c>
      <c r="J93">
        <v>95.260193627451059</v>
      </c>
      <c r="K93">
        <v>21.535593716497157</v>
      </c>
      <c r="L93">
        <v>7.4786531758617837E-5</v>
      </c>
    </row>
    <row r="94" spans="2:12" x14ac:dyDescent="0.2">
      <c r="B94" s="191">
        <v>12</v>
      </c>
      <c r="C94" s="90">
        <f t="shared" si="1"/>
        <v>144</v>
      </c>
      <c r="D94" s="187">
        <v>102.3</v>
      </c>
      <c r="G94" t="s">
        <v>18</v>
      </c>
      <c r="H94">
        <v>13</v>
      </c>
      <c r="I94">
        <v>57.503987745098087</v>
      </c>
      <c r="J94">
        <v>4.4233836726998526</v>
      </c>
    </row>
    <row r="95" spans="2:12" ht="17" thickBot="1" x14ac:dyDescent="0.25">
      <c r="B95" s="191">
        <v>13</v>
      </c>
      <c r="C95" s="90">
        <f t="shared" si="1"/>
        <v>169</v>
      </c>
      <c r="D95" s="187">
        <v>103.4</v>
      </c>
      <c r="G95" s="6" t="s">
        <v>19</v>
      </c>
      <c r="H95" s="6">
        <v>15</v>
      </c>
      <c r="I95" s="6">
        <v>248.02437500000019</v>
      </c>
      <c r="J95" s="6"/>
      <c r="K95" s="6"/>
      <c r="L95" s="6"/>
    </row>
    <row r="96" spans="2:12" ht="17" thickBot="1" x14ac:dyDescent="0.25">
      <c r="B96" s="191">
        <v>14</v>
      </c>
      <c r="C96" s="90">
        <f t="shared" si="1"/>
        <v>196</v>
      </c>
      <c r="D96" s="187">
        <v>105.1</v>
      </c>
    </row>
    <row r="97" spans="2:15" x14ac:dyDescent="0.2">
      <c r="B97" s="191">
        <v>15</v>
      </c>
      <c r="C97" s="90">
        <f t="shared" si="1"/>
        <v>225</v>
      </c>
      <c r="D97" s="187">
        <v>114.4</v>
      </c>
      <c r="G97" s="7"/>
      <c r="H97" s="7" t="s">
        <v>20</v>
      </c>
      <c r="I97" s="7" t="s">
        <v>9</v>
      </c>
      <c r="J97" s="7" t="s">
        <v>21</v>
      </c>
      <c r="K97" s="7" t="s">
        <v>22</v>
      </c>
      <c r="L97" s="7" t="s">
        <v>23</v>
      </c>
      <c r="M97" s="7" t="s">
        <v>24</v>
      </c>
      <c r="N97" s="7" t="s">
        <v>25</v>
      </c>
      <c r="O97" s="7" t="s">
        <v>26</v>
      </c>
    </row>
    <row r="98" spans="2:15" ht="17" thickBot="1" x14ac:dyDescent="0.25">
      <c r="B98" s="193">
        <v>16</v>
      </c>
      <c r="C98" s="94">
        <f t="shared" si="1"/>
        <v>256</v>
      </c>
      <c r="D98" s="189">
        <v>111.4</v>
      </c>
      <c r="F98" t="s">
        <v>38</v>
      </c>
      <c r="G98" t="s">
        <v>27</v>
      </c>
      <c r="H98" s="37">
        <v>108.16125000000001</v>
      </c>
      <c r="I98">
        <v>1.7974008626219127</v>
      </c>
      <c r="J98">
        <v>60.176476071243535</v>
      </c>
      <c r="K98" s="37">
        <v>2.7243758581603737E-17</v>
      </c>
      <c r="L98">
        <v>104.27820151329244</v>
      </c>
      <c r="M98">
        <v>112.04429848670758</v>
      </c>
      <c r="N98">
        <v>104.27820151329244</v>
      </c>
      <c r="O98">
        <v>112.04429848670758</v>
      </c>
    </row>
    <row r="99" spans="2:15" x14ac:dyDescent="0.2">
      <c r="F99" t="s">
        <v>120</v>
      </c>
      <c r="G99" t="s">
        <v>0</v>
      </c>
      <c r="H99" s="37">
        <v>-2.2396813725490206</v>
      </c>
      <c r="I99">
        <v>0.4866334370811019</v>
      </c>
      <c r="J99">
        <v>-4.6023992637722451</v>
      </c>
      <c r="K99" s="37">
        <v>4.9553144586308984E-4</v>
      </c>
      <c r="L99">
        <v>-3.2909889972057917</v>
      </c>
      <c r="M99">
        <v>-1.1883737478922496</v>
      </c>
      <c r="N99">
        <v>-3.2909889972057917</v>
      </c>
      <c r="O99">
        <v>-1.1883737478922496</v>
      </c>
    </row>
    <row r="100" spans="2:15" ht="17" thickBot="1" x14ac:dyDescent="0.25">
      <c r="F100" t="s">
        <v>39</v>
      </c>
      <c r="G100" s="6" t="s">
        <v>139</v>
      </c>
      <c r="H100" s="128">
        <v>0.15502450980392163</v>
      </c>
      <c r="I100" s="6">
        <v>2.7828077610281811E-2</v>
      </c>
      <c r="J100" s="6">
        <v>5.5707947913241327</v>
      </c>
      <c r="K100" s="128">
        <v>9.0605845824862601E-5</v>
      </c>
      <c r="L100" s="6">
        <v>9.4905603165054794E-2</v>
      </c>
      <c r="M100" s="6">
        <v>0.21514341644278848</v>
      </c>
      <c r="N100" s="6">
        <v>9.4905603165054794E-2</v>
      </c>
      <c r="O100" s="6">
        <v>0.21514341644278848</v>
      </c>
    </row>
    <row r="103" spans="2:15" x14ac:dyDescent="0.2">
      <c r="B103" t="s">
        <v>119</v>
      </c>
    </row>
    <row r="104" spans="2:15" x14ac:dyDescent="0.2">
      <c r="I104" t="s">
        <v>128</v>
      </c>
      <c r="J104">
        <f>(H99^2)-4*H98*H100</f>
        <v>-62.054406393574617</v>
      </c>
    </row>
    <row r="105" spans="2:15" x14ac:dyDescent="0.2">
      <c r="I105" t="s">
        <v>121</v>
      </c>
      <c r="J105">
        <f>-H99/(2*H100)</f>
        <v>7.2236363636363636</v>
      </c>
    </row>
    <row r="106" spans="2:15" x14ac:dyDescent="0.2">
      <c r="I106" t="s">
        <v>122</v>
      </c>
      <c r="J106">
        <f>-J104/(4*H100)</f>
        <v>100.07192809714796</v>
      </c>
    </row>
    <row r="107" spans="2:15" x14ac:dyDescent="0.2">
      <c r="B107" t="s">
        <v>117</v>
      </c>
    </row>
    <row r="112" spans="2:15" x14ac:dyDescent="0.2">
      <c r="B112" s="78" t="s">
        <v>101</v>
      </c>
      <c r="C112" s="138">
        <f>H86</f>
        <v>0.76815186916568978</v>
      </c>
    </row>
    <row r="113" spans="2:8" x14ac:dyDescent="0.2">
      <c r="B113" s="78" t="s">
        <v>103</v>
      </c>
      <c r="C113" s="138">
        <f>H88/AVERAGE(D83:D98)</f>
        <v>2.0297332043649814E-2</v>
      </c>
    </row>
    <row r="114" spans="2:8" x14ac:dyDescent="0.2">
      <c r="B114" s="78" t="s">
        <v>115</v>
      </c>
      <c r="C114" s="78"/>
    </row>
    <row r="117" spans="2:8" ht="32" x14ac:dyDescent="0.4">
      <c r="B117" s="135" t="s">
        <v>141</v>
      </c>
      <c r="C117" s="27"/>
      <c r="D117" s="27"/>
    </row>
    <row r="119" spans="2:8" ht="17" thickBot="1" x14ac:dyDescent="0.25">
      <c r="B119" t="s">
        <v>138</v>
      </c>
      <c r="C119" t="s">
        <v>123</v>
      </c>
    </row>
    <row r="120" spans="2:8" ht="52" thickBot="1" x14ac:dyDescent="0.25">
      <c r="B120" s="30" t="s">
        <v>0</v>
      </c>
      <c r="C120" s="110" t="s">
        <v>154</v>
      </c>
      <c r="D120" s="3" t="s">
        <v>130</v>
      </c>
      <c r="G120" t="s">
        <v>4</v>
      </c>
    </row>
    <row r="121" spans="2:8" ht="17" thickBot="1" x14ac:dyDescent="0.25">
      <c r="B121" s="34">
        <v>1</v>
      </c>
      <c r="C121" s="113">
        <v>104.2</v>
      </c>
      <c r="D121" s="108">
        <f>LN(C121)</f>
        <v>4.6463121293192664</v>
      </c>
    </row>
    <row r="122" spans="2:8" x14ac:dyDescent="0.2">
      <c r="B122" s="34">
        <v>2</v>
      </c>
      <c r="C122" s="113">
        <v>103.5</v>
      </c>
      <c r="D122" s="173">
        <f t="shared" ref="D122:D136" si="2">LN(C122)</f>
        <v>4.6395716127054234</v>
      </c>
      <c r="G122" s="8" t="s">
        <v>5</v>
      </c>
      <c r="H122" s="8"/>
    </row>
    <row r="123" spans="2:8" x14ac:dyDescent="0.2">
      <c r="B123" s="34">
        <v>3</v>
      </c>
      <c r="C123" s="113">
        <v>102.6</v>
      </c>
      <c r="D123" s="173">
        <f t="shared" si="2"/>
        <v>4.6308379327366689</v>
      </c>
      <c r="G123" t="s">
        <v>6</v>
      </c>
      <c r="H123">
        <v>0.45674704835688346</v>
      </c>
    </row>
    <row r="124" spans="2:8" x14ac:dyDescent="0.2">
      <c r="B124" s="34">
        <v>4</v>
      </c>
      <c r="C124" s="113">
        <v>104.3</v>
      </c>
      <c r="D124" s="173">
        <f t="shared" si="2"/>
        <v>4.6472713620067267</v>
      </c>
      <c r="G124" t="s">
        <v>7</v>
      </c>
      <c r="H124">
        <v>0.20861786618272521</v>
      </c>
    </row>
    <row r="125" spans="2:8" x14ac:dyDescent="0.2">
      <c r="B125" s="34">
        <v>5</v>
      </c>
      <c r="C125" s="113">
        <v>103.7</v>
      </c>
      <c r="D125" s="173">
        <f t="shared" si="2"/>
        <v>4.6415021152354816</v>
      </c>
      <c r="G125" t="s">
        <v>8</v>
      </c>
      <c r="H125">
        <v>0.1520905709100627</v>
      </c>
    </row>
    <row r="126" spans="2:8" x14ac:dyDescent="0.2">
      <c r="B126" s="34">
        <v>6</v>
      </c>
      <c r="C126" s="113">
        <v>100.9</v>
      </c>
      <c r="D126" s="173">
        <f t="shared" si="2"/>
        <v>4.6141299273595635</v>
      </c>
      <c r="G126" t="s">
        <v>9</v>
      </c>
      <c r="H126">
        <v>3.5183049597920728E-2</v>
      </c>
    </row>
    <row r="127" spans="2:8" ht="17" thickBot="1" x14ac:dyDescent="0.25">
      <c r="B127" s="34">
        <v>7</v>
      </c>
      <c r="C127" s="113">
        <v>100</v>
      </c>
      <c r="D127" s="173">
        <f t="shared" si="2"/>
        <v>4.6051701859880918</v>
      </c>
      <c r="G127" s="6" t="s">
        <v>10</v>
      </c>
      <c r="H127" s="6">
        <v>16</v>
      </c>
    </row>
    <row r="128" spans="2:8" x14ac:dyDescent="0.2">
      <c r="B128" s="34">
        <v>8</v>
      </c>
      <c r="C128" s="113">
        <v>99.1</v>
      </c>
      <c r="D128" s="173">
        <f t="shared" si="2"/>
        <v>4.5961294413359424</v>
      </c>
    </row>
    <row r="129" spans="2:15" ht="17" thickBot="1" x14ac:dyDescent="0.25">
      <c r="B129" s="34">
        <v>9</v>
      </c>
      <c r="C129" s="113">
        <v>99.4</v>
      </c>
      <c r="D129" s="173">
        <f t="shared" si="2"/>
        <v>4.5991521136625284</v>
      </c>
      <c r="G129" t="s">
        <v>11</v>
      </c>
    </row>
    <row r="130" spans="2:15" x14ac:dyDescent="0.2">
      <c r="B130" s="34">
        <v>10</v>
      </c>
      <c r="C130" s="113">
        <v>102</v>
      </c>
      <c r="D130" s="173">
        <f t="shared" si="2"/>
        <v>4.6249728132842707</v>
      </c>
      <c r="G130" s="7"/>
      <c r="H130" s="7" t="s">
        <v>12</v>
      </c>
      <c r="I130" s="7" t="s">
        <v>13</v>
      </c>
      <c r="J130" s="7" t="s">
        <v>14</v>
      </c>
      <c r="K130" s="7" t="s">
        <v>15</v>
      </c>
      <c r="L130" s="7" t="s">
        <v>16</v>
      </c>
    </row>
    <row r="131" spans="2:15" x14ac:dyDescent="0.2">
      <c r="B131" s="34">
        <v>11</v>
      </c>
      <c r="C131" s="113">
        <v>101.6</v>
      </c>
      <c r="D131" s="173">
        <f t="shared" si="2"/>
        <v>4.6210435351443815</v>
      </c>
      <c r="G131" t="s">
        <v>17</v>
      </c>
      <c r="H131">
        <v>1</v>
      </c>
      <c r="I131">
        <v>4.5683593063514973E-3</v>
      </c>
      <c r="J131">
        <v>4.5683593063514973E-3</v>
      </c>
      <c r="K131">
        <v>3.6905686921060985</v>
      </c>
      <c r="L131">
        <v>7.5320698665307578E-2</v>
      </c>
    </row>
    <row r="132" spans="2:15" x14ac:dyDescent="0.2">
      <c r="B132" s="34">
        <v>12</v>
      </c>
      <c r="C132" s="113">
        <v>102.3</v>
      </c>
      <c r="D132" s="173">
        <f t="shared" si="2"/>
        <v>4.627909672957581</v>
      </c>
      <c r="G132" t="s">
        <v>18</v>
      </c>
      <c r="H132">
        <v>14</v>
      </c>
      <c r="I132">
        <v>1.7329857706136497E-2</v>
      </c>
      <c r="J132">
        <v>1.2378469790097497E-3</v>
      </c>
    </row>
    <row r="133" spans="2:15" ht="17" thickBot="1" x14ac:dyDescent="0.25">
      <c r="B133" s="34">
        <v>13</v>
      </c>
      <c r="C133" s="113">
        <v>103.4</v>
      </c>
      <c r="D133" s="173">
        <f t="shared" si="2"/>
        <v>4.6386049620743286</v>
      </c>
      <c r="G133" s="6" t="s">
        <v>19</v>
      </c>
      <c r="H133" s="6">
        <v>15</v>
      </c>
      <c r="I133" s="6">
        <v>2.1898217012487994E-2</v>
      </c>
      <c r="J133" s="6"/>
      <c r="K133" s="6"/>
      <c r="L133" s="6"/>
    </row>
    <row r="134" spans="2:15" ht="17" thickBot="1" x14ac:dyDescent="0.25">
      <c r="B134" s="34">
        <v>14</v>
      </c>
      <c r="C134" s="113">
        <v>105.1</v>
      </c>
      <c r="D134" s="173">
        <f t="shared" si="2"/>
        <v>4.6549122778829055</v>
      </c>
    </row>
    <row r="135" spans="2:15" x14ac:dyDescent="0.2">
      <c r="B135" s="34">
        <v>15</v>
      </c>
      <c r="C135" s="113">
        <v>114.4</v>
      </c>
      <c r="D135" s="173">
        <f t="shared" si="2"/>
        <v>4.7397010789456973</v>
      </c>
      <c r="G135" s="7"/>
      <c r="H135" s="7" t="s">
        <v>20</v>
      </c>
      <c r="I135" s="7" t="s">
        <v>9</v>
      </c>
      <c r="J135" s="7" t="s">
        <v>21</v>
      </c>
      <c r="K135" s="7" t="s">
        <v>22</v>
      </c>
      <c r="L135" s="7" t="s">
        <v>23</v>
      </c>
      <c r="M135" s="7" t="s">
        <v>24</v>
      </c>
      <c r="N135" s="7" t="s">
        <v>25</v>
      </c>
      <c r="O135" s="7" t="s">
        <v>26</v>
      </c>
    </row>
    <row r="136" spans="2:15" ht="17" thickBot="1" x14ac:dyDescent="0.25">
      <c r="B136" s="188">
        <v>16</v>
      </c>
      <c r="C136" s="118">
        <v>111.4</v>
      </c>
      <c r="D136" s="174">
        <f t="shared" si="2"/>
        <v>4.7131273274931837</v>
      </c>
      <c r="G136" t="s">
        <v>27</v>
      </c>
      <c r="H136" s="136">
        <v>4.6088644964064613</v>
      </c>
      <c r="I136">
        <v>1.8450146861954276E-2</v>
      </c>
      <c r="J136">
        <v>249.80096531970267</v>
      </c>
      <c r="K136" s="37">
        <v>5.9850344957968317E-27</v>
      </c>
      <c r="L136">
        <v>4.5692928670268129</v>
      </c>
      <c r="M136">
        <v>4.6484361257861098</v>
      </c>
      <c r="N136">
        <v>4.5692928670268129</v>
      </c>
      <c r="O136">
        <v>4.6484361257861098</v>
      </c>
    </row>
    <row r="137" spans="2:15" ht="17" thickBot="1" x14ac:dyDescent="0.25">
      <c r="G137" s="6" t="s">
        <v>0</v>
      </c>
      <c r="H137" s="137">
        <v>3.6655628355047776E-3</v>
      </c>
      <c r="I137" s="6">
        <v>1.9080687641833576E-3</v>
      </c>
      <c r="J137" s="6">
        <v>1.921085290169622</v>
      </c>
      <c r="K137" s="128">
        <v>7.5320698665307481E-2</v>
      </c>
      <c r="L137" s="6">
        <v>-4.2683764954746405E-4</v>
      </c>
      <c r="M137" s="6">
        <v>7.757963320557019E-3</v>
      </c>
      <c r="N137" s="6">
        <v>-4.2683764954746405E-4</v>
      </c>
      <c r="O137" s="6">
        <v>7.757963320557019E-3</v>
      </c>
    </row>
    <row r="140" spans="2:15" x14ac:dyDescent="0.2">
      <c r="B140" t="s">
        <v>119</v>
      </c>
    </row>
    <row r="141" spans="2:15" x14ac:dyDescent="0.2">
      <c r="I141" t="s">
        <v>38</v>
      </c>
      <c r="J141" s="37">
        <f>EXP(H136)</f>
        <v>100.37011427941518</v>
      </c>
    </row>
    <row r="144" spans="2:15" x14ac:dyDescent="0.2">
      <c r="B144" t="s">
        <v>117</v>
      </c>
    </row>
    <row r="150" spans="1:7" x14ac:dyDescent="0.2">
      <c r="B150" t="s">
        <v>101</v>
      </c>
      <c r="C150" s="120">
        <f>H124</f>
        <v>0.20861786618272521</v>
      </c>
    </row>
    <row r="151" spans="1:7" x14ac:dyDescent="0.2">
      <c r="B151" t="s">
        <v>103</v>
      </c>
      <c r="C151" s="120">
        <f>H126/AVERAGE(D121:D136)</f>
        <v>7.5825181997457997E-3</v>
      </c>
    </row>
    <row r="152" spans="1:7" x14ac:dyDescent="0.2">
      <c r="B152" t="s">
        <v>137</v>
      </c>
    </row>
    <row r="156" spans="1:7" ht="32" x14ac:dyDescent="0.4">
      <c r="B156" s="135" t="s">
        <v>140</v>
      </c>
      <c r="C156" s="27"/>
    </row>
    <row r="158" spans="1:7" ht="17" thickBot="1" x14ac:dyDescent="0.25">
      <c r="B158" t="s">
        <v>138</v>
      </c>
      <c r="C158" t="s">
        <v>123</v>
      </c>
    </row>
    <row r="159" spans="1:7" ht="52" thickBot="1" x14ac:dyDescent="0.25">
      <c r="B159" s="30" t="s">
        <v>0</v>
      </c>
      <c r="C159" s="111" t="s">
        <v>154</v>
      </c>
      <c r="G159" t="s">
        <v>4</v>
      </c>
    </row>
    <row r="160" spans="1:7" ht="17" thickBot="1" x14ac:dyDescent="0.25">
      <c r="A160">
        <v>2008</v>
      </c>
      <c r="B160" s="34">
        <v>1</v>
      </c>
      <c r="C160" s="187">
        <v>104.2</v>
      </c>
    </row>
    <row r="161" spans="1:15" x14ac:dyDescent="0.2">
      <c r="A161">
        <v>2009</v>
      </c>
      <c r="B161" s="34">
        <v>2</v>
      </c>
      <c r="C161" s="187">
        <v>103.5</v>
      </c>
      <c r="G161" s="8" t="s">
        <v>5</v>
      </c>
      <c r="H161" s="8"/>
    </row>
    <row r="162" spans="1:15" x14ac:dyDescent="0.2">
      <c r="A162">
        <v>2010</v>
      </c>
      <c r="B162" s="34">
        <v>3</v>
      </c>
      <c r="C162" s="187">
        <v>102.6</v>
      </c>
      <c r="G162" t="s">
        <v>6</v>
      </c>
      <c r="H162">
        <v>0.23167495797035473</v>
      </c>
    </row>
    <row r="163" spans="1:15" x14ac:dyDescent="0.2">
      <c r="A163">
        <v>2011</v>
      </c>
      <c r="B163" s="34">
        <v>4</v>
      </c>
      <c r="C163" s="187">
        <v>104.3</v>
      </c>
      <c r="G163" t="s">
        <v>7</v>
      </c>
      <c r="H163">
        <v>5.367328615056563E-2</v>
      </c>
    </row>
    <row r="164" spans="1:15" x14ac:dyDescent="0.2">
      <c r="A164">
        <v>2012</v>
      </c>
      <c r="B164" s="34">
        <v>5</v>
      </c>
      <c r="C164" s="187">
        <v>103.7</v>
      </c>
      <c r="G164" t="s">
        <v>8</v>
      </c>
      <c r="H164">
        <v>-1.3921479124393968E-2</v>
      </c>
    </row>
    <row r="165" spans="1:15" x14ac:dyDescent="0.2">
      <c r="A165">
        <v>2013</v>
      </c>
      <c r="B165" s="34">
        <v>6</v>
      </c>
      <c r="C165" s="187">
        <v>100.9</v>
      </c>
      <c r="G165" t="s">
        <v>9</v>
      </c>
      <c r="H165">
        <v>3.8473430298054438E-2</v>
      </c>
    </row>
    <row r="166" spans="1:15" ht="17" thickBot="1" x14ac:dyDescent="0.25">
      <c r="A166">
        <v>2014</v>
      </c>
      <c r="B166" s="34">
        <v>7</v>
      </c>
      <c r="C166" s="187">
        <v>100</v>
      </c>
      <c r="G166" s="6" t="s">
        <v>10</v>
      </c>
      <c r="H166" s="6">
        <v>16</v>
      </c>
    </row>
    <row r="167" spans="1:15" x14ac:dyDescent="0.2">
      <c r="A167">
        <v>2015</v>
      </c>
      <c r="B167" s="34">
        <v>8</v>
      </c>
      <c r="C167" s="187">
        <v>99.1</v>
      </c>
    </row>
    <row r="168" spans="1:15" ht="17" thickBot="1" x14ac:dyDescent="0.25">
      <c r="A168">
        <v>2016</v>
      </c>
      <c r="B168" s="34">
        <v>9</v>
      </c>
      <c r="C168" s="187">
        <v>99.4</v>
      </c>
      <c r="G168" t="s">
        <v>11</v>
      </c>
    </row>
    <row r="169" spans="1:15" x14ac:dyDescent="0.2">
      <c r="A169">
        <v>2017</v>
      </c>
      <c r="B169" s="34">
        <v>10</v>
      </c>
      <c r="C169" s="187">
        <v>102</v>
      </c>
      <c r="G169" s="7"/>
      <c r="H169" s="7" t="s">
        <v>12</v>
      </c>
      <c r="I169" s="7" t="s">
        <v>13</v>
      </c>
      <c r="J169" s="7" t="s">
        <v>14</v>
      </c>
      <c r="K169" s="7" t="s">
        <v>15</v>
      </c>
      <c r="L169" s="7" t="s">
        <v>16</v>
      </c>
    </row>
    <row r="170" spans="1:15" x14ac:dyDescent="0.2">
      <c r="A170">
        <v>2018</v>
      </c>
      <c r="B170" s="34">
        <v>11</v>
      </c>
      <c r="C170" s="187">
        <v>101.6</v>
      </c>
      <c r="G170" t="s">
        <v>17</v>
      </c>
      <c r="H170">
        <v>1</v>
      </c>
      <c r="I170">
        <v>1.1753492678984526E-3</v>
      </c>
      <c r="J170">
        <v>1.1753492678984526E-3</v>
      </c>
      <c r="K170">
        <v>0.79404501121108029</v>
      </c>
      <c r="L170">
        <v>0.38793790322355204</v>
      </c>
    </row>
    <row r="171" spans="1:15" x14ac:dyDescent="0.2">
      <c r="A171">
        <v>2019</v>
      </c>
      <c r="B171" s="34">
        <v>12</v>
      </c>
      <c r="C171" s="187">
        <v>102.3</v>
      </c>
      <c r="G171" t="s">
        <v>18</v>
      </c>
      <c r="H171">
        <v>14</v>
      </c>
      <c r="I171">
        <v>2.0722867744589542E-2</v>
      </c>
      <c r="J171">
        <v>1.480204838899253E-3</v>
      </c>
    </row>
    <row r="172" spans="1:15" ht="17" thickBot="1" x14ac:dyDescent="0.25">
      <c r="A172">
        <v>2020</v>
      </c>
      <c r="B172" s="34">
        <v>13</v>
      </c>
      <c r="C172" s="187">
        <v>103.4</v>
      </c>
      <c r="G172" s="6" t="s">
        <v>19</v>
      </c>
      <c r="H172" s="6">
        <v>15</v>
      </c>
      <c r="I172" s="6">
        <v>2.1898217012487994E-2</v>
      </c>
      <c r="J172" s="6"/>
      <c r="K172" s="6"/>
      <c r="L172" s="6"/>
    </row>
    <row r="173" spans="1:15" ht="17" thickBot="1" x14ac:dyDescent="0.25">
      <c r="A173">
        <v>2021</v>
      </c>
      <c r="B173" s="34">
        <v>14</v>
      </c>
      <c r="C173" s="187">
        <v>105.1</v>
      </c>
    </row>
    <row r="174" spans="1:15" x14ac:dyDescent="0.2">
      <c r="A174">
        <v>2022</v>
      </c>
      <c r="B174" s="34">
        <v>15</v>
      </c>
      <c r="C174" s="187">
        <v>114.4</v>
      </c>
      <c r="G174" s="7"/>
      <c r="H174" s="7" t="s">
        <v>20</v>
      </c>
      <c r="I174" s="7" t="s">
        <v>9</v>
      </c>
      <c r="J174" s="7" t="s">
        <v>21</v>
      </c>
      <c r="K174" s="7" t="s">
        <v>22</v>
      </c>
      <c r="L174" s="7" t="s">
        <v>23</v>
      </c>
      <c r="M174" s="7" t="s">
        <v>24</v>
      </c>
      <c r="N174" s="7" t="s">
        <v>25</v>
      </c>
      <c r="O174" s="7" t="s">
        <v>26</v>
      </c>
    </row>
    <row r="175" spans="1:15" ht="17" thickBot="1" x14ac:dyDescent="0.25">
      <c r="A175">
        <v>2023</v>
      </c>
      <c r="B175" s="188">
        <v>16</v>
      </c>
      <c r="C175" s="189">
        <v>111.4</v>
      </c>
      <c r="G175" t="s">
        <v>27</v>
      </c>
      <c r="H175" s="37">
        <v>4.6185190724718419</v>
      </c>
      <c r="I175">
        <v>2.5977014843414407E-2</v>
      </c>
      <c r="J175">
        <v>177.79252544264958</v>
      </c>
      <c r="K175" s="37">
        <v>6.9818836258273412E-25</v>
      </c>
      <c r="L175">
        <v>4.5628039168438432</v>
      </c>
      <c r="M175">
        <v>4.6742342280998406</v>
      </c>
      <c r="N175">
        <v>4.5628039168438432</v>
      </c>
      <c r="O175">
        <v>4.6742342280998406</v>
      </c>
    </row>
    <row r="176" spans="1:15" ht="17" thickBot="1" x14ac:dyDescent="0.25">
      <c r="G176" s="6" t="s">
        <v>133</v>
      </c>
      <c r="H176" s="128">
        <v>1.1216904595699739E-2</v>
      </c>
      <c r="I176" s="6">
        <v>1.2587818295709961E-2</v>
      </c>
      <c r="J176" s="6">
        <v>0.89109203296353268</v>
      </c>
      <c r="K176" s="128">
        <v>0.38793790322355171</v>
      </c>
      <c r="L176" s="6">
        <v>-1.5781280514867168E-2</v>
      </c>
      <c r="M176" s="6">
        <v>3.8215089706266643E-2</v>
      </c>
      <c r="N176" s="6">
        <v>-1.5781280514867168E-2</v>
      </c>
      <c r="O176" s="6">
        <v>3.8215089706266643E-2</v>
      </c>
    </row>
    <row r="177" spans="1:13" ht="17" thickBot="1" x14ac:dyDescent="0.25">
      <c r="B177" s="103" t="s">
        <v>133</v>
      </c>
      <c r="C177" s="3" t="s">
        <v>142</v>
      </c>
    </row>
    <row r="178" spans="1:13" x14ac:dyDescent="0.2">
      <c r="A178">
        <v>1</v>
      </c>
      <c r="B178" s="131">
        <f>LN(B160)</f>
        <v>0</v>
      </c>
      <c r="C178" s="108">
        <f>LN(C160)</f>
        <v>4.6463121293192664</v>
      </c>
    </row>
    <row r="179" spans="1:13" x14ac:dyDescent="0.2">
      <c r="A179">
        <v>2</v>
      </c>
      <c r="B179" s="125">
        <f t="shared" ref="B179:C179" si="3">LN(B161)</f>
        <v>0.69314718055994529</v>
      </c>
      <c r="C179" s="173">
        <f t="shared" si="3"/>
        <v>4.6395716127054234</v>
      </c>
    </row>
    <row r="180" spans="1:13" x14ac:dyDescent="0.2">
      <c r="A180">
        <v>3</v>
      </c>
      <c r="B180" s="125">
        <f t="shared" ref="B180:C180" si="4">LN(B162)</f>
        <v>1.0986122886681098</v>
      </c>
      <c r="C180" s="173">
        <f t="shared" si="4"/>
        <v>4.6308379327366689</v>
      </c>
      <c r="G180" t="s">
        <v>119</v>
      </c>
    </row>
    <row r="181" spans="1:13" x14ac:dyDescent="0.2">
      <c r="A181">
        <v>4</v>
      </c>
      <c r="B181" s="125">
        <f t="shared" ref="B181:C181" si="5">LN(B163)</f>
        <v>1.3862943611198906</v>
      </c>
      <c r="C181" s="173">
        <f t="shared" si="5"/>
        <v>4.6472713620067267</v>
      </c>
      <c r="L181" t="s">
        <v>135</v>
      </c>
      <c r="M181" s="37">
        <f>EXP(H175)</f>
        <v>101.34383806413402</v>
      </c>
    </row>
    <row r="182" spans="1:13" x14ac:dyDescent="0.2">
      <c r="A182">
        <v>5</v>
      </c>
      <c r="B182" s="125">
        <f t="shared" ref="B182:C182" si="6">LN(B164)</f>
        <v>1.6094379124341003</v>
      </c>
      <c r="C182" s="173">
        <f t="shared" si="6"/>
        <v>4.6415021152354816</v>
      </c>
    </row>
    <row r="183" spans="1:13" x14ac:dyDescent="0.2">
      <c r="A183">
        <v>6</v>
      </c>
      <c r="B183" s="125">
        <f t="shared" ref="B183:C183" si="7">LN(B165)</f>
        <v>1.791759469228055</v>
      </c>
      <c r="C183" s="173">
        <f t="shared" si="7"/>
        <v>4.6141299273595635</v>
      </c>
    </row>
    <row r="184" spans="1:13" x14ac:dyDescent="0.2">
      <c r="A184">
        <v>7</v>
      </c>
      <c r="B184" s="125">
        <f t="shared" ref="B184:C184" si="8">LN(B166)</f>
        <v>1.9459101490553132</v>
      </c>
      <c r="C184" s="173">
        <f t="shared" si="8"/>
        <v>4.6051701859880918</v>
      </c>
    </row>
    <row r="185" spans="1:13" x14ac:dyDescent="0.2">
      <c r="A185">
        <v>8</v>
      </c>
      <c r="B185" s="125">
        <f t="shared" ref="B185:C185" si="9">LN(B167)</f>
        <v>2.0794415416798357</v>
      </c>
      <c r="C185" s="173">
        <f t="shared" si="9"/>
        <v>4.5961294413359424</v>
      </c>
      <c r="G185" t="s">
        <v>117</v>
      </c>
    </row>
    <row r="186" spans="1:13" x14ac:dyDescent="0.2">
      <c r="A186">
        <v>9</v>
      </c>
      <c r="B186" s="125">
        <f t="shared" ref="B186:C186" si="10">LN(B168)</f>
        <v>2.1972245773362196</v>
      </c>
      <c r="C186" s="173">
        <f t="shared" si="10"/>
        <v>4.5991521136625284</v>
      </c>
    </row>
    <row r="187" spans="1:13" x14ac:dyDescent="0.2">
      <c r="A187">
        <v>10</v>
      </c>
      <c r="B187" s="125">
        <f t="shared" ref="B187:C187" si="11">LN(B169)</f>
        <v>2.3025850929940459</v>
      </c>
      <c r="C187" s="173">
        <f t="shared" si="11"/>
        <v>4.6249728132842707</v>
      </c>
    </row>
    <row r="188" spans="1:13" x14ac:dyDescent="0.2">
      <c r="A188">
        <v>11</v>
      </c>
      <c r="B188" s="125">
        <f t="shared" ref="B188:C188" si="12">LN(B170)</f>
        <v>2.3978952727983707</v>
      </c>
      <c r="C188" s="173">
        <f t="shared" si="12"/>
        <v>4.6210435351443815</v>
      </c>
    </row>
    <row r="189" spans="1:13" x14ac:dyDescent="0.2">
      <c r="A189">
        <v>12</v>
      </c>
      <c r="B189" s="125">
        <f t="shared" ref="B189:C189" si="13">LN(B171)</f>
        <v>2.4849066497880004</v>
      </c>
      <c r="C189" s="173">
        <f t="shared" si="13"/>
        <v>4.627909672957581</v>
      </c>
    </row>
    <row r="190" spans="1:13" x14ac:dyDescent="0.2">
      <c r="A190">
        <v>13</v>
      </c>
      <c r="B190" s="125">
        <f t="shared" ref="B190:C190" si="14">LN(B172)</f>
        <v>2.5649493574615367</v>
      </c>
      <c r="C190" s="173">
        <f t="shared" si="14"/>
        <v>4.6386049620743286</v>
      </c>
    </row>
    <row r="191" spans="1:13" x14ac:dyDescent="0.2">
      <c r="A191">
        <v>14</v>
      </c>
      <c r="B191" s="125">
        <f t="shared" ref="B191:C191" si="15">LN(B173)</f>
        <v>2.6390573296152584</v>
      </c>
      <c r="C191" s="173">
        <f t="shared" si="15"/>
        <v>4.6549122778829055</v>
      </c>
    </row>
    <row r="192" spans="1:13" x14ac:dyDescent="0.2">
      <c r="A192">
        <v>15</v>
      </c>
      <c r="B192" s="125">
        <f t="shared" ref="B192:C192" si="16">LN(B174)</f>
        <v>2.7080502011022101</v>
      </c>
      <c r="C192" s="173">
        <f t="shared" si="16"/>
        <v>4.7397010789456973</v>
      </c>
      <c r="G192" t="s">
        <v>101</v>
      </c>
      <c r="H192" s="120">
        <f>H163</f>
        <v>5.367328615056563E-2</v>
      </c>
    </row>
    <row r="193" spans="1:8" ht="17" thickBot="1" x14ac:dyDescent="0.25">
      <c r="A193">
        <v>16</v>
      </c>
      <c r="B193" s="126">
        <f t="shared" ref="B193:C193" si="17">LN(B175)</f>
        <v>2.7725887222397811</v>
      </c>
      <c r="C193" s="174">
        <f t="shared" si="17"/>
        <v>4.7131273274931837</v>
      </c>
      <c r="G193" t="s">
        <v>103</v>
      </c>
      <c r="H193" s="120">
        <f>H165/AVERAGE(C178:C193)</f>
        <v>8.2916486426148177E-3</v>
      </c>
    </row>
    <row r="194" spans="1:8" x14ac:dyDescent="0.2">
      <c r="G194" t="s">
        <v>137</v>
      </c>
    </row>
    <row r="197" spans="1:8" ht="17" thickBot="1" x14ac:dyDescent="0.25"/>
    <row r="198" spans="1:8" ht="24" x14ac:dyDescent="0.3">
      <c r="B198" s="139" t="s">
        <v>147</v>
      </c>
      <c r="C198" s="145"/>
      <c r="D198" s="69"/>
      <c r="E198" s="69"/>
      <c r="F198" s="69"/>
      <c r="G198" s="69"/>
      <c r="H198" s="70"/>
    </row>
    <row r="199" spans="1:8" x14ac:dyDescent="0.2">
      <c r="B199" s="71"/>
      <c r="H199" s="72"/>
    </row>
    <row r="200" spans="1:8" x14ac:dyDescent="0.2">
      <c r="B200" s="71"/>
      <c r="H200" s="72"/>
    </row>
    <row r="201" spans="1:8" x14ac:dyDescent="0.2">
      <c r="B201" s="71"/>
      <c r="H201" s="72"/>
    </row>
    <row r="202" spans="1:8" x14ac:dyDescent="0.2">
      <c r="B202" s="71"/>
      <c r="H202" s="72"/>
    </row>
    <row r="203" spans="1:8" x14ac:dyDescent="0.2">
      <c r="B203" s="71" t="s">
        <v>128</v>
      </c>
      <c r="C203" s="37">
        <f>J104</f>
        <v>-62.054406393574617</v>
      </c>
      <c r="E203" s="78" t="s">
        <v>101</v>
      </c>
      <c r="F203" s="138">
        <f>C112</f>
        <v>0.76815186916568978</v>
      </c>
      <c r="H203" s="72"/>
    </row>
    <row r="204" spans="1:8" x14ac:dyDescent="0.2">
      <c r="B204" s="71" t="s">
        <v>121</v>
      </c>
      <c r="C204" s="37">
        <f t="shared" ref="C204:C205" si="18">J105</f>
        <v>7.2236363636363636</v>
      </c>
      <c r="E204" s="78" t="s">
        <v>103</v>
      </c>
      <c r="F204" s="138">
        <f>C113</f>
        <v>2.0297332043649814E-2</v>
      </c>
      <c r="H204" s="72"/>
    </row>
    <row r="205" spans="1:8" x14ac:dyDescent="0.2">
      <c r="B205" s="71" t="s">
        <v>122</v>
      </c>
      <c r="C205" s="37">
        <f t="shared" si="18"/>
        <v>100.07192809714796</v>
      </c>
      <c r="E205" s="78" t="s">
        <v>115</v>
      </c>
      <c r="F205" s="78"/>
      <c r="H205" s="72"/>
    </row>
    <row r="206" spans="1:8" x14ac:dyDescent="0.2">
      <c r="B206" s="71"/>
      <c r="H206" s="72"/>
    </row>
    <row r="207" spans="1:8" ht="17" thickBot="1" x14ac:dyDescent="0.25">
      <c r="B207" s="73" t="s">
        <v>148</v>
      </c>
      <c r="C207" s="6"/>
      <c r="D207" s="6"/>
      <c r="E207" s="6"/>
      <c r="F207" s="6"/>
      <c r="G207" s="6"/>
      <c r="H207" s="7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209"/>
  <sheetViews>
    <sheetView tabSelected="1" topLeftCell="A167" zoomScale="114" workbookViewId="0">
      <selection activeCell="A193" sqref="A193"/>
    </sheetView>
  </sheetViews>
  <sheetFormatPr baseColWidth="10" defaultColWidth="11.5" defaultRowHeight="16" x14ac:dyDescent="0.2"/>
  <sheetData>
    <row r="2" spans="2:12" ht="32" x14ac:dyDescent="0.4">
      <c r="B2" s="135" t="s">
        <v>143</v>
      </c>
      <c r="C2" s="27"/>
    </row>
    <row r="4" spans="2:12" ht="17" thickBot="1" x14ac:dyDescent="0.25">
      <c r="B4" t="s">
        <v>138</v>
      </c>
      <c r="C4" t="s">
        <v>123</v>
      </c>
    </row>
    <row r="5" spans="2:12" ht="86" thickBot="1" x14ac:dyDescent="0.25">
      <c r="B5" s="30" t="s">
        <v>0</v>
      </c>
      <c r="C5" s="111" t="s">
        <v>32</v>
      </c>
      <c r="G5" t="s">
        <v>4</v>
      </c>
    </row>
    <row r="6" spans="2:12" ht="17" thickBot="1" x14ac:dyDescent="0.25">
      <c r="B6" s="34">
        <v>1</v>
      </c>
      <c r="C6" s="114">
        <v>37.590000000000003</v>
      </c>
    </row>
    <row r="7" spans="2:12" x14ac:dyDescent="0.2">
      <c r="B7" s="34">
        <v>2</v>
      </c>
      <c r="C7" s="114">
        <v>35.75</v>
      </c>
      <c r="G7" s="8" t="s">
        <v>5</v>
      </c>
      <c r="H7" s="8"/>
    </row>
    <row r="8" spans="2:12" x14ac:dyDescent="0.2">
      <c r="B8" s="34">
        <v>3</v>
      </c>
      <c r="C8" s="114">
        <v>34.270000000000003</v>
      </c>
      <c r="G8" t="s">
        <v>6</v>
      </c>
      <c r="H8">
        <v>0.81553073623872108</v>
      </c>
    </row>
    <row r="9" spans="2:12" x14ac:dyDescent="0.2">
      <c r="B9" s="34">
        <v>4</v>
      </c>
      <c r="C9" s="115">
        <v>34.5</v>
      </c>
      <c r="G9" t="s">
        <v>7</v>
      </c>
      <c r="H9">
        <v>0.66509038175007051</v>
      </c>
    </row>
    <row r="10" spans="2:12" x14ac:dyDescent="0.2">
      <c r="B10" s="34">
        <v>5</v>
      </c>
      <c r="C10" s="115">
        <v>33.6</v>
      </c>
      <c r="E10" s="149">
        <f>AVERAGE(C17,C20)</f>
        <v>40.5</v>
      </c>
      <c r="G10" t="s">
        <v>8</v>
      </c>
      <c r="H10">
        <v>0.64116826616078981</v>
      </c>
    </row>
    <row r="11" spans="2:12" x14ac:dyDescent="0.2">
      <c r="B11" s="34">
        <v>6</v>
      </c>
      <c r="C11" s="115">
        <v>33.799999999999997</v>
      </c>
      <c r="G11" t="s">
        <v>9</v>
      </c>
      <c r="H11">
        <v>1.6560991583443638</v>
      </c>
    </row>
    <row r="12" spans="2:12" ht="17" thickBot="1" x14ac:dyDescent="0.25">
      <c r="B12" s="34">
        <v>7</v>
      </c>
      <c r="C12" s="115">
        <v>34.799999999999997</v>
      </c>
      <c r="G12" s="6" t="s">
        <v>10</v>
      </c>
      <c r="H12" s="6">
        <v>16</v>
      </c>
    </row>
    <row r="13" spans="2:12" x14ac:dyDescent="0.2">
      <c r="B13" s="34">
        <v>8</v>
      </c>
      <c r="C13" s="115">
        <v>36.700000000000003</v>
      </c>
    </row>
    <row r="14" spans="2:12" ht="17" thickBot="1" x14ac:dyDescent="0.25">
      <c r="B14" s="34">
        <v>9</v>
      </c>
      <c r="C14" s="115">
        <v>38.1</v>
      </c>
      <c r="G14" t="s">
        <v>11</v>
      </c>
    </row>
    <row r="15" spans="2:12" x14ac:dyDescent="0.2">
      <c r="B15" s="34">
        <v>10</v>
      </c>
      <c r="C15" s="115">
        <v>39.299999999999997</v>
      </c>
      <c r="G15" s="7"/>
      <c r="H15" s="7" t="s">
        <v>12</v>
      </c>
      <c r="I15" s="7" t="s">
        <v>13</v>
      </c>
      <c r="J15" s="7" t="s">
        <v>14</v>
      </c>
      <c r="K15" s="7" t="s">
        <v>15</v>
      </c>
      <c r="L15" s="7" t="s">
        <v>16</v>
      </c>
    </row>
    <row r="16" spans="2:12" x14ac:dyDescent="0.2">
      <c r="B16" s="34">
        <v>11</v>
      </c>
      <c r="C16" s="115">
        <v>40.1</v>
      </c>
      <c r="G16" t="s">
        <v>17</v>
      </c>
      <c r="H16">
        <v>1</v>
      </c>
      <c r="I16">
        <v>76.252441838235256</v>
      </c>
      <c r="J16">
        <v>76.252441838235256</v>
      </c>
      <c r="K16">
        <v>27.802322886864257</v>
      </c>
      <c r="L16">
        <v>1.1785461968617594E-4</v>
      </c>
    </row>
    <row r="17" spans="2:15" x14ac:dyDescent="0.2">
      <c r="B17" s="34">
        <v>12</v>
      </c>
      <c r="C17" s="115">
        <v>40.6</v>
      </c>
      <c r="G17" t="s">
        <v>18</v>
      </c>
      <c r="H17">
        <v>14</v>
      </c>
      <c r="I17">
        <v>38.397301911764742</v>
      </c>
      <c r="J17">
        <v>2.7426644222689101</v>
      </c>
    </row>
    <row r="18" spans="2:15" ht="17" thickBot="1" x14ac:dyDescent="0.25">
      <c r="B18" s="34">
        <v>13</v>
      </c>
      <c r="C18" s="148">
        <f>E10</f>
        <v>40.5</v>
      </c>
      <c r="G18" s="6" t="s">
        <v>19</v>
      </c>
      <c r="H18" s="6">
        <v>15</v>
      </c>
      <c r="I18" s="6">
        <v>114.64974375</v>
      </c>
      <c r="J18" s="6"/>
      <c r="K18" s="6"/>
      <c r="L18" s="6"/>
    </row>
    <row r="19" spans="2:15" ht="17" thickBot="1" x14ac:dyDescent="0.25">
      <c r="B19" s="34">
        <v>14</v>
      </c>
      <c r="C19" s="148">
        <f>E10</f>
        <v>40.5</v>
      </c>
    </row>
    <row r="20" spans="2:15" x14ac:dyDescent="0.2">
      <c r="B20" s="34">
        <v>15</v>
      </c>
      <c r="C20" s="115">
        <v>40.4</v>
      </c>
      <c r="G20" s="7"/>
      <c r="H20" s="7" t="s">
        <v>20</v>
      </c>
      <c r="I20" s="7" t="s">
        <v>9</v>
      </c>
      <c r="J20" s="7" t="s">
        <v>21</v>
      </c>
      <c r="K20" s="7" t="s">
        <v>22</v>
      </c>
      <c r="L20" s="7" t="s">
        <v>23</v>
      </c>
      <c r="M20" s="7" t="s">
        <v>24</v>
      </c>
      <c r="N20" s="7" t="s">
        <v>25</v>
      </c>
      <c r="O20" s="7" t="s">
        <v>26</v>
      </c>
    </row>
    <row r="21" spans="2:15" ht="17" thickBot="1" x14ac:dyDescent="0.25">
      <c r="B21" s="188">
        <v>16</v>
      </c>
      <c r="C21" s="119">
        <v>40.5</v>
      </c>
      <c r="G21" t="s">
        <v>27</v>
      </c>
      <c r="H21" s="37">
        <v>33.53775000000001</v>
      </c>
      <c r="I21">
        <v>0.86846572535935485</v>
      </c>
      <c r="J21">
        <v>38.617240750776567</v>
      </c>
      <c r="K21" s="37">
        <v>1.2660600396991727E-15</v>
      </c>
      <c r="L21">
        <v>31.675076273336387</v>
      </c>
      <c r="M21">
        <v>35.400423726663632</v>
      </c>
      <c r="N21">
        <v>31.675076273336387</v>
      </c>
      <c r="O21">
        <v>35.400423726663632</v>
      </c>
    </row>
    <row r="22" spans="2:15" ht="17" thickBot="1" x14ac:dyDescent="0.25">
      <c r="G22" s="6" t="s">
        <v>0</v>
      </c>
      <c r="H22" s="128">
        <v>0.47357352941176462</v>
      </c>
      <c r="I22" s="6">
        <v>8.9814587153183509E-2</v>
      </c>
      <c r="J22" s="6">
        <v>5.2727908062869568</v>
      </c>
      <c r="K22" s="128">
        <v>1.1785461968617573E-4</v>
      </c>
      <c r="L22" s="6">
        <v>0.2809403985047832</v>
      </c>
      <c r="M22" s="6">
        <v>0.66620666031874609</v>
      </c>
      <c r="N22" s="6">
        <v>0.2809403985047832</v>
      </c>
      <c r="O22" s="6">
        <v>0.66620666031874609</v>
      </c>
    </row>
    <row r="29" spans="2:15" x14ac:dyDescent="0.2">
      <c r="B29" t="s">
        <v>101</v>
      </c>
      <c r="C29" s="120">
        <f>H9</f>
        <v>0.66509038175007051</v>
      </c>
    </row>
    <row r="30" spans="2:15" x14ac:dyDescent="0.2">
      <c r="B30" t="s">
        <v>103</v>
      </c>
      <c r="C30" s="120">
        <f>H11/AVERAGE(C6:C21)</f>
        <v>4.4088428700869896E-2</v>
      </c>
    </row>
    <row r="31" spans="2:15" x14ac:dyDescent="0.2">
      <c r="B31" t="s">
        <v>115</v>
      </c>
    </row>
    <row r="34" spans="2:12" ht="32" x14ac:dyDescent="0.4">
      <c r="B34" s="135" t="s">
        <v>116</v>
      </c>
      <c r="C34" s="27"/>
    </row>
    <row r="36" spans="2:12" ht="17" thickBot="1" x14ac:dyDescent="0.25">
      <c r="B36" t="s">
        <v>138</v>
      </c>
      <c r="C36" t="s">
        <v>123</v>
      </c>
    </row>
    <row r="37" spans="2:12" ht="86" thickBot="1" x14ac:dyDescent="0.25">
      <c r="B37" s="30" t="s">
        <v>0</v>
      </c>
      <c r="C37" s="194" t="s">
        <v>32</v>
      </c>
      <c r="D37" s="3" t="s">
        <v>125</v>
      </c>
      <c r="G37" t="s">
        <v>4</v>
      </c>
    </row>
    <row r="38" spans="2:12" ht="17" thickBot="1" x14ac:dyDescent="0.25">
      <c r="B38" s="34">
        <v>1</v>
      </c>
      <c r="C38" s="195">
        <v>37.590000000000003</v>
      </c>
      <c r="D38" s="108">
        <f>1/B38</f>
        <v>1</v>
      </c>
    </row>
    <row r="39" spans="2:12" x14ac:dyDescent="0.2">
      <c r="B39" s="34">
        <v>2</v>
      </c>
      <c r="C39" s="195">
        <v>35.75</v>
      </c>
      <c r="D39" s="173">
        <f t="shared" ref="D39:D53" si="0">1/B39</f>
        <v>0.5</v>
      </c>
      <c r="G39" s="8" t="s">
        <v>5</v>
      </c>
      <c r="H39" s="8"/>
    </row>
    <row r="40" spans="2:12" x14ac:dyDescent="0.2">
      <c r="B40" s="34">
        <v>3</v>
      </c>
      <c r="C40" s="195">
        <v>34.270000000000003</v>
      </c>
      <c r="D40" s="173">
        <f t="shared" si="0"/>
        <v>0.33333333333333331</v>
      </c>
      <c r="G40" t="s">
        <v>6</v>
      </c>
      <c r="H40">
        <v>0.3144186893501032</v>
      </c>
    </row>
    <row r="41" spans="2:12" x14ac:dyDescent="0.2">
      <c r="B41" s="34">
        <v>4</v>
      </c>
      <c r="C41" s="196">
        <v>34.5</v>
      </c>
      <c r="D41" s="173">
        <f t="shared" si="0"/>
        <v>0.25</v>
      </c>
      <c r="G41" t="s">
        <v>7</v>
      </c>
      <c r="H41">
        <v>9.8859112212636713E-2</v>
      </c>
    </row>
    <row r="42" spans="2:12" x14ac:dyDescent="0.2">
      <c r="B42" s="34">
        <v>5</v>
      </c>
      <c r="C42" s="196">
        <v>33.6</v>
      </c>
      <c r="D42" s="173">
        <f t="shared" si="0"/>
        <v>0.2</v>
      </c>
      <c r="G42" t="s">
        <v>8</v>
      </c>
      <c r="H42">
        <v>3.4491905942110761E-2</v>
      </c>
    </row>
    <row r="43" spans="2:12" x14ac:dyDescent="0.2">
      <c r="B43" s="34">
        <v>6</v>
      </c>
      <c r="C43" s="196">
        <v>33.799999999999997</v>
      </c>
      <c r="D43" s="173">
        <f t="shared" si="0"/>
        <v>0.16666666666666666</v>
      </c>
      <c r="G43" t="s">
        <v>9</v>
      </c>
      <c r="H43">
        <v>2.7165573258849505</v>
      </c>
    </row>
    <row r="44" spans="2:12" ht="17" thickBot="1" x14ac:dyDescent="0.25">
      <c r="B44" s="34">
        <v>7</v>
      </c>
      <c r="C44" s="196">
        <v>34.799999999999997</v>
      </c>
      <c r="D44" s="173">
        <f t="shared" si="0"/>
        <v>0.14285714285714285</v>
      </c>
      <c r="G44" s="6" t="s">
        <v>10</v>
      </c>
      <c r="H44" s="6">
        <v>16</v>
      </c>
    </row>
    <row r="45" spans="2:12" x14ac:dyDescent="0.2">
      <c r="B45" s="34">
        <v>8</v>
      </c>
      <c r="C45" s="196">
        <v>36.700000000000003</v>
      </c>
      <c r="D45" s="173">
        <f t="shared" si="0"/>
        <v>0.125</v>
      </c>
    </row>
    <row r="46" spans="2:12" ht="17" thickBot="1" x14ac:dyDescent="0.25">
      <c r="B46" s="34">
        <v>9</v>
      </c>
      <c r="C46" s="196">
        <v>38.1</v>
      </c>
      <c r="D46" s="173">
        <f t="shared" si="0"/>
        <v>0.1111111111111111</v>
      </c>
      <c r="G46" t="s">
        <v>11</v>
      </c>
    </row>
    <row r="47" spans="2:12" x14ac:dyDescent="0.2">
      <c r="B47" s="34">
        <v>10</v>
      </c>
      <c r="C47" s="196">
        <v>39.299999999999997</v>
      </c>
      <c r="D47" s="173">
        <f t="shared" si="0"/>
        <v>0.1</v>
      </c>
      <c r="G47" s="7"/>
      <c r="H47" s="7" t="s">
        <v>12</v>
      </c>
      <c r="I47" s="7" t="s">
        <v>13</v>
      </c>
      <c r="J47" s="7" t="s">
        <v>14</v>
      </c>
      <c r="K47" s="7" t="s">
        <v>15</v>
      </c>
      <c r="L47" s="7" t="s">
        <v>16</v>
      </c>
    </row>
    <row r="48" spans="2:12" x14ac:dyDescent="0.2">
      <c r="B48" s="34">
        <v>11</v>
      </c>
      <c r="C48" s="196">
        <v>40.1</v>
      </c>
      <c r="D48" s="173">
        <f t="shared" si="0"/>
        <v>9.0909090909090912E-2</v>
      </c>
      <c r="G48" t="s">
        <v>17</v>
      </c>
      <c r="H48">
        <v>1</v>
      </c>
      <c r="I48">
        <v>11.334171882531294</v>
      </c>
      <c r="J48">
        <v>11.334171882531294</v>
      </c>
      <c r="K48">
        <v>1.5358614726441027</v>
      </c>
      <c r="L48">
        <v>0.23560905731647522</v>
      </c>
    </row>
    <row r="49" spans="2:15" x14ac:dyDescent="0.2">
      <c r="B49" s="34">
        <v>12</v>
      </c>
      <c r="C49" s="196">
        <v>40.6</v>
      </c>
      <c r="D49" s="173">
        <f t="shared" si="0"/>
        <v>8.3333333333333329E-2</v>
      </c>
      <c r="G49" t="s">
        <v>18</v>
      </c>
      <c r="H49">
        <v>14</v>
      </c>
      <c r="I49">
        <v>103.31557186746871</v>
      </c>
      <c r="J49">
        <v>7.3796837048191932</v>
      </c>
    </row>
    <row r="50" spans="2:15" ht="17" thickBot="1" x14ac:dyDescent="0.25">
      <c r="B50" s="34">
        <v>13</v>
      </c>
      <c r="C50" s="197">
        <f>E10</f>
        <v>40.5</v>
      </c>
      <c r="D50" s="173">
        <f t="shared" si="0"/>
        <v>7.6923076923076927E-2</v>
      </c>
      <c r="G50" s="6" t="s">
        <v>19</v>
      </c>
      <c r="H50" s="6">
        <v>15</v>
      </c>
      <c r="I50" s="6">
        <v>114.64974375</v>
      </c>
      <c r="J50" s="6"/>
      <c r="K50" s="6"/>
      <c r="L50" s="6"/>
    </row>
    <row r="51" spans="2:15" ht="17" thickBot="1" x14ac:dyDescent="0.25">
      <c r="B51" s="34">
        <v>14</v>
      </c>
      <c r="C51" s="197">
        <f>C50</f>
        <v>40.5</v>
      </c>
      <c r="D51" s="173">
        <f t="shared" si="0"/>
        <v>7.1428571428571425E-2</v>
      </c>
    </row>
    <row r="52" spans="2:15" x14ac:dyDescent="0.2">
      <c r="B52" s="34">
        <v>15</v>
      </c>
      <c r="C52" s="196">
        <v>40.4</v>
      </c>
      <c r="D52" s="173">
        <f t="shared" si="0"/>
        <v>6.6666666666666666E-2</v>
      </c>
      <c r="G52" s="7"/>
      <c r="H52" s="7" t="s">
        <v>20</v>
      </c>
      <c r="I52" s="7" t="s">
        <v>9</v>
      </c>
      <c r="J52" s="7" t="s">
        <v>21</v>
      </c>
      <c r="K52" s="7" t="s">
        <v>22</v>
      </c>
      <c r="L52" s="7" t="s">
        <v>23</v>
      </c>
      <c r="M52" s="7" t="s">
        <v>24</v>
      </c>
      <c r="N52" s="7" t="s">
        <v>25</v>
      </c>
      <c r="O52" s="7" t="s">
        <v>26</v>
      </c>
    </row>
    <row r="53" spans="2:15" ht="17" thickBot="1" x14ac:dyDescent="0.25">
      <c r="B53" s="188">
        <v>16</v>
      </c>
      <c r="C53" s="198">
        <v>40.5</v>
      </c>
      <c r="D53" s="174">
        <f t="shared" si="0"/>
        <v>6.25E-2</v>
      </c>
      <c r="G53" t="s">
        <v>27</v>
      </c>
      <c r="H53" s="37">
        <v>38.325769735594456</v>
      </c>
      <c r="I53">
        <v>0.91647574539855514</v>
      </c>
      <c r="J53">
        <v>41.81864051287841</v>
      </c>
      <c r="K53" s="37">
        <v>4.1890827276187604E-16</v>
      </c>
      <c r="L53">
        <v>36.360124757064085</v>
      </c>
      <c r="M53">
        <v>40.291414714124826</v>
      </c>
      <c r="N53">
        <v>36.360124757064085</v>
      </c>
      <c r="O53">
        <v>40.291414714124826</v>
      </c>
    </row>
    <row r="54" spans="2:15" ht="17" thickBot="1" x14ac:dyDescent="0.25">
      <c r="G54" s="6" t="s">
        <v>125</v>
      </c>
      <c r="H54" s="128">
        <v>-3.6093741302394591</v>
      </c>
      <c r="I54" s="6">
        <v>2.9124325633251074</v>
      </c>
      <c r="J54" s="6">
        <v>-1.239298782636415</v>
      </c>
      <c r="K54" s="128">
        <v>0.23560905731647536</v>
      </c>
      <c r="L54" s="6">
        <v>-9.8559207215174762</v>
      </c>
      <c r="M54" s="6">
        <v>2.637172461038559</v>
      </c>
      <c r="N54" s="6">
        <v>-9.8559207215174762</v>
      </c>
      <c r="O54" s="6">
        <v>2.637172461038559</v>
      </c>
    </row>
    <row r="58" spans="2:15" x14ac:dyDescent="0.2">
      <c r="B58" t="s">
        <v>119</v>
      </c>
    </row>
    <row r="63" spans="2:15" x14ac:dyDescent="0.2">
      <c r="B63" t="s">
        <v>117</v>
      </c>
    </row>
    <row r="71" spans="2:17" x14ac:dyDescent="0.2">
      <c r="B71" t="s">
        <v>101</v>
      </c>
      <c r="C71" s="120">
        <f>H41</f>
        <v>9.8859112212636713E-2</v>
      </c>
    </row>
    <row r="72" spans="2:17" x14ac:dyDescent="0.2">
      <c r="B72" t="s">
        <v>144</v>
      </c>
      <c r="C72" s="120">
        <f>H43/AVERAGE(C38:C53)</f>
        <v>7.2319790376464951E-2</v>
      </c>
    </row>
    <row r="73" spans="2:17" x14ac:dyDescent="0.2">
      <c r="B73" t="s">
        <v>137</v>
      </c>
    </row>
    <row r="76" spans="2:17" ht="32" x14ac:dyDescent="0.4">
      <c r="B76" s="135" t="s">
        <v>118</v>
      </c>
      <c r="C76" s="27"/>
    </row>
    <row r="77" spans="2:17" ht="17" thickBot="1" x14ac:dyDescent="0.25"/>
    <row r="78" spans="2:17" ht="86" thickBot="1" x14ac:dyDescent="0.25">
      <c r="B78" s="199" t="s">
        <v>0</v>
      </c>
      <c r="C78" s="201" t="s">
        <v>126</v>
      </c>
      <c r="D78" s="200" t="s">
        <v>32</v>
      </c>
      <c r="G78" t="s">
        <v>4</v>
      </c>
    </row>
    <row r="79" spans="2:17" ht="17" thickBot="1" x14ac:dyDescent="0.25">
      <c r="B79" s="191">
        <v>1</v>
      </c>
      <c r="C79" s="97">
        <f>B79^2</f>
        <v>1</v>
      </c>
      <c r="D79" s="114">
        <v>37.590000000000003</v>
      </c>
    </row>
    <row r="80" spans="2:17" ht="24" x14ac:dyDescent="0.3">
      <c r="B80" s="191">
        <v>2</v>
      </c>
      <c r="C80" s="90">
        <f t="shared" ref="C80:C94" si="1">B80^2</f>
        <v>4</v>
      </c>
      <c r="D80" s="114">
        <v>35.75</v>
      </c>
      <c r="G80" s="8" t="s">
        <v>5</v>
      </c>
      <c r="H80" s="8"/>
      <c r="Q80" s="150" t="s">
        <v>156</v>
      </c>
    </row>
    <row r="81" spans="2:15" x14ac:dyDescent="0.2">
      <c r="B81" s="191">
        <v>3</v>
      </c>
      <c r="C81" s="90">
        <f t="shared" si="1"/>
        <v>9</v>
      </c>
      <c r="D81" s="114">
        <v>34.270000000000003</v>
      </c>
      <c r="G81" t="s">
        <v>6</v>
      </c>
      <c r="H81">
        <v>0.84378772569026905</v>
      </c>
    </row>
    <row r="82" spans="2:15" x14ac:dyDescent="0.2">
      <c r="B82" s="191">
        <v>4</v>
      </c>
      <c r="C82" s="90">
        <f t="shared" si="1"/>
        <v>16</v>
      </c>
      <c r="D82" s="115">
        <v>34.5</v>
      </c>
      <c r="G82" t="s">
        <v>7</v>
      </c>
      <c r="H82">
        <v>0.71197772602555676</v>
      </c>
    </row>
    <row r="83" spans="2:15" x14ac:dyDescent="0.2">
      <c r="B83" s="191">
        <v>5</v>
      </c>
      <c r="C83" s="90">
        <f t="shared" si="1"/>
        <v>25</v>
      </c>
      <c r="D83" s="115">
        <v>33.6</v>
      </c>
      <c r="G83" t="s">
        <v>8</v>
      </c>
      <c r="H83">
        <v>0.66766660695256541</v>
      </c>
    </row>
    <row r="84" spans="2:15" x14ac:dyDescent="0.2">
      <c r="B84" s="191">
        <v>6</v>
      </c>
      <c r="C84" s="90">
        <f t="shared" si="1"/>
        <v>36</v>
      </c>
      <c r="D84" s="115">
        <v>33.799999999999997</v>
      </c>
      <c r="G84" t="s">
        <v>9</v>
      </c>
      <c r="H84">
        <v>1.5937782855520066</v>
      </c>
    </row>
    <row r="85" spans="2:15" ht="17" thickBot="1" x14ac:dyDescent="0.25">
      <c r="B85" s="191">
        <v>7</v>
      </c>
      <c r="C85" s="90">
        <f t="shared" si="1"/>
        <v>49</v>
      </c>
      <c r="D85" s="115">
        <v>34.799999999999997</v>
      </c>
      <c r="G85" s="6" t="s">
        <v>10</v>
      </c>
      <c r="H85" s="6">
        <v>16</v>
      </c>
    </row>
    <row r="86" spans="2:15" x14ac:dyDescent="0.2">
      <c r="B86" s="191">
        <v>8</v>
      </c>
      <c r="C86" s="90">
        <f t="shared" si="1"/>
        <v>64</v>
      </c>
      <c r="D86" s="115">
        <v>36.700000000000003</v>
      </c>
    </row>
    <row r="87" spans="2:15" ht="17" thickBot="1" x14ac:dyDescent="0.25">
      <c r="B87" s="191">
        <v>9</v>
      </c>
      <c r="C87" s="90">
        <f t="shared" si="1"/>
        <v>81</v>
      </c>
      <c r="D87" s="115">
        <v>38.1</v>
      </c>
      <c r="G87" t="s">
        <v>11</v>
      </c>
    </row>
    <row r="88" spans="2:15" x14ac:dyDescent="0.2">
      <c r="B88" s="191">
        <v>10</v>
      </c>
      <c r="C88" s="90">
        <f t="shared" si="1"/>
        <v>100</v>
      </c>
      <c r="D88" s="115">
        <v>39.299999999999997</v>
      </c>
      <c r="G88" s="7"/>
      <c r="H88" s="7" t="s">
        <v>12</v>
      </c>
      <c r="I88" s="7" t="s">
        <v>13</v>
      </c>
      <c r="J88" s="7" t="s">
        <v>14</v>
      </c>
      <c r="K88" s="7" t="s">
        <v>15</v>
      </c>
      <c r="L88" s="7" t="s">
        <v>16</v>
      </c>
    </row>
    <row r="89" spans="2:15" x14ac:dyDescent="0.2">
      <c r="B89" s="191">
        <v>11</v>
      </c>
      <c r="C89" s="90">
        <f t="shared" si="1"/>
        <v>121</v>
      </c>
      <c r="D89" s="115">
        <v>40.1</v>
      </c>
      <c r="G89" t="s">
        <v>17</v>
      </c>
      <c r="H89">
        <v>2</v>
      </c>
      <c r="I89">
        <v>81.628063844537792</v>
      </c>
      <c r="J89">
        <v>40.814031922268896</v>
      </c>
      <c r="K89">
        <v>16.067699054333403</v>
      </c>
      <c r="L89">
        <v>3.0638640208206265E-4</v>
      </c>
    </row>
    <row r="90" spans="2:15" x14ac:dyDescent="0.2">
      <c r="B90" s="191">
        <v>12</v>
      </c>
      <c r="C90" s="90">
        <f t="shared" si="1"/>
        <v>144</v>
      </c>
      <c r="D90" s="115">
        <v>40.6</v>
      </c>
      <c r="G90" t="s">
        <v>18</v>
      </c>
      <c r="H90">
        <v>13</v>
      </c>
      <c r="I90">
        <v>33.021679905462214</v>
      </c>
      <c r="J90">
        <v>2.5401292234970936</v>
      </c>
    </row>
    <row r="91" spans="2:15" ht="17" thickBot="1" x14ac:dyDescent="0.25">
      <c r="B91" s="191">
        <v>13</v>
      </c>
      <c r="C91" s="90">
        <f t="shared" si="1"/>
        <v>169</v>
      </c>
      <c r="D91" s="148">
        <f>E10</f>
        <v>40.5</v>
      </c>
      <c r="G91" s="6" t="s">
        <v>19</v>
      </c>
      <c r="H91" s="6">
        <v>15</v>
      </c>
      <c r="I91" s="6">
        <v>114.64974375</v>
      </c>
      <c r="J91" s="6"/>
      <c r="K91" s="6"/>
      <c r="L91" s="6"/>
    </row>
    <row r="92" spans="2:15" ht="17" thickBot="1" x14ac:dyDescent="0.25">
      <c r="B92" s="191">
        <v>14</v>
      </c>
      <c r="C92" s="90">
        <f t="shared" si="1"/>
        <v>196</v>
      </c>
      <c r="D92" s="148">
        <f>D91</f>
        <v>40.5</v>
      </c>
    </row>
    <row r="93" spans="2:15" x14ac:dyDescent="0.2">
      <c r="B93" s="191">
        <v>15</v>
      </c>
      <c r="C93" s="90">
        <f t="shared" si="1"/>
        <v>225</v>
      </c>
      <c r="D93" s="115">
        <v>40.4</v>
      </c>
      <c r="G93" s="7"/>
      <c r="H93" s="7" t="s">
        <v>20</v>
      </c>
      <c r="I93" s="7" t="s">
        <v>9</v>
      </c>
      <c r="J93" s="7" t="s">
        <v>21</v>
      </c>
      <c r="K93" s="7" t="s">
        <v>22</v>
      </c>
      <c r="L93" s="7" t="s">
        <v>23</v>
      </c>
      <c r="M93" s="7" t="s">
        <v>24</v>
      </c>
      <c r="N93" s="7" t="s">
        <v>25</v>
      </c>
      <c r="O93" s="7" t="s">
        <v>26</v>
      </c>
    </row>
    <row r="94" spans="2:15" ht="17" thickBot="1" x14ac:dyDescent="0.25">
      <c r="B94" s="193">
        <v>16</v>
      </c>
      <c r="C94" s="94">
        <f t="shared" si="1"/>
        <v>256</v>
      </c>
      <c r="D94" s="119">
        <v>40.5</v>
      </c>
      <c r="G94" t="s">
        <v>27</v>
      </c>
      <c r="H94" s="37">
        <v>35.102303571428578</v>
      </c>
      <c r="I94">
        <v>1.362057826291259</v>
      </c>
      <c r="J94">
        <v>25.771522246605695</v>
      </c>
      <c r="K94" s="37">
        <v>1.5183079079720436E-12</v>
      </c>
      <c r="L94">
        <v>32.159756535219103</v>
      </c>
      <c r="M94">
        <v>38.044850607638054</v>
      </c>
      <c r="N94">
        <v>32.159756535219103</v>
      </c>
      <c r="O94">
        <v>38.044850607638054</v>
      </c>
    </row>
    <row r="95" spans="2:15" x14ac:dyDescent="0.2">
      <c r="G95" t="s">
        <v>0</v>
      </c>
      <c r="H95" s="37">
        <v>-4.7944327731093028E-2</v>
      </c>
      <c r="I95">
        <v>0.36876742150020647</v>
      </c>
      <c r="J95">
        <v>-0.1300123734793264</v>
      </c>
      <c r="K95" s="37">
        <v>0.89854683279595271</v>
      </c>
      <c r="L95">
        <v>-0.84461790666474246</v>
      </c>
      <c r="M95">
        <v>0.7487292512025564</v>
      </c>
      <c r="N95">
        <v>-0.84461790666474246</v>
      </c>
      <c r="O95">
        <v>0.7487292512025564</v>
      </c>
    </row>
    <row r="96" spans="2:15" ht="17" thickBot="1" x14ac:dyDescent="0.25">
      <c r="G96" s="6" t="s">
        <v>126</v>
      </c>
      <c r="H96" s="128">
        <v>3.0677521008403388E-2</v>
      </c>
      <c r="I96" s="6">
        <v>2.1087922949160148E-2</v>
      </c>
      <c r="J96" s="6">
        <v>1.4547436028840932</v>
      </c>
      <c r="K96" s="128">
        <v>0.16945780888422957</v>
      </c>
      <c r="L96" s="6">
        <v>-1.4880166760864613E-2</v>
      </c>
      <c r="M96" s="6">
        <v>7.6235208777671384E-2</v>
      </c>
      <c r="N96" s="6">
        <v>-1.4880166760864613E-2</v>
      </c>
      <c r="O96" s="6">
        <v>7.6235208777671384E-2</v>
      </c>
    </row>
    <row r="99" spans="2:12" x14ac:dyDescent="0.2">
      <c r="B99" t="s">
        <v>119</v>
      </c>
    </row>
    <row r="102" spans="2:12" x14ac:dyDescent="0.2">
      <c r="K102" t="s">
        <v>128</v>
      </c>
      <c r="L102">
        <f>H95^-4*H94*H96</f>
        <v>203801.29834020152</v>
      </c>
    </row>
    <row r="103" spans="2:12" x14ac:dyDescent="0.2">
      <c r="K103" t="s">
        <v>121</v>
      </c>
      <c r="L103">
        <f>-H95/(2*H96)</f>
        <v>0.78142441362781245</v>
      </c>
    </row>
    <row r="104" spans="2:12" x14ac:dyDescent="0.2">
      <c r="B104" t="s">
        <v>117</v>
      </c>
      <c r="K104" t="s">
        <v>122</v>
      </c>
      <c r="L104">
        <f>-L102/(4*H96)</f>
        <v>-1660835.7817143612</v>
      </c>
    </row>
    <row r="110" spans="2:12" x14ac:dyDescent="0.2">
      <c r="B110" t="s">
        <v>101</v>
      </c>
      <c r="C110" s="120">
        <f>H82</f>
        <v>0.71197772602555676</v>
      </c>
    </row>
    <row r="111" spans="2:12" x14ac:dyDescent="0.2">
      <c r="B111" t="s">
        <v>103</v>
      </c>
      <c r="C111" s="120">
        <f>H84/AVERAGE(D79:D94)</f>
        <v>4.2429331573238548E-2</v>
      </c>
    </row>
    <row r="112" spans="2:12" x14ac:dyDescent="0.2">
      <c r="B112" t="s">
        <v>137</v>
      </c>
    </row>
    <row r="115" spans="2:12" ht="32" x14ac:dyDescent="0.4">
      <c r="B115" s="135" t="s">
        <v>145</v>
      </c>
      <c r="C115" s="27"/>
      <c r="D115" s="27"/>
    </row>
    <row r="117" spans="2:12" ht="17" thickBot="1" x14ac:dyDescent="0.25">
      <c r="B117" t="s">
        <v>138</v>
      </c>
      <c r="C117" t="s">
        <v>123</v>
      </c>
    </row>
    <row r="118" spans="2:12" ht="86" thickBot="1" x14ac:dyDescent="0.25">
      <c r="B118" s="30" t="s">
        <v>0</v>
      </c>
      <c r="C118" s="194" t="s">
        <v>32</v>
      </c>
      <c r="D118" s="3" t="s">
        <v>130</v>
      </c>
      <c r="G118" t="s">
        <v>4</v>
      </c>
    </row>
    <row r="119" spans="2:12" ht="17" thickBot="1" x14ac:dyDescent="0.25">
      <c r="B119" s="34">
        <v>1</v>
      </c>
      <c r="C119" s="195">
        <v>37.590000000000003</v>
      </c>
      <c r="D119" s="108">
        <f>LN(C119)</f>
        <v>3.6267380575760866</v>
      </c>
    </row>
    <row r="120" spans="2:12" x14ac:dyDescent="0.2">
      <c r="B120" s="34">
        <v>2</v>
      </c>
      <c r="C120" s="195">
        <v>35.75</v>
      </c>
      <c r="D120" s="173">
        <f t="shared" ref="D120:D134" si="2">LN(C120)</f>
        <v>3.5765502691400166</v>
      </c>
      <c r="G120" s="8" t="s">
        <v>5</v>
      </c>
      <c r="H120" s="8"/>
    </row>
    <row r="121" spans="2:12" x14ac:dyDescent="0.2">
      <c r="B121" s="34">
        <v>3</v>
      </c>
      <c r="C121" s="195">
        <v>34.270000000000003</v>
      </c>
      <c r="D121" s="173">
        <f t="shared" si="2"/>
        <v>3.5342703358865175</v>
      </c>
      <c r="G121" t="s">
        <v>6</v>
      </c>
      <c r="H121">
        <v>0.80754995224291615</v>
      </c>
    </row>
    <row r="122" spans="2:12" x14ac:dyDescent="0.2">
      <c r="B122" s="34">
        <v>4</v>
      </c>
      <c r="C122" s="196">
        <v>34.5</v>
      </c>
      <c r="D122" s="173">
        <f t="shared" si="2"/>
        <v>3.5409593240373143</v>
      </c>
      <c r="G122" t="s">
        <v>7</v>
      </c>
      <c r="H122">
        <v>0.6521369253675362</v>
      </c>
    </row>
    <row r="123" spans="2:12" x14ac:dyDescent="0.2">
      <c r="B123" s="34">
        <v>5</v>
      </c>
      <c r="C123" s="196">
        <v>33.6</v>
      </c>
      <c r="D123" s="173">
        <f t="shared" si="2"/>
        <v>3.5145260669691587</v>
      </c>
      <c r="G123" t="s">
        <v>8</v>
      </c>
      <c r="H123">
        <v>0.62728956289378879</v>
      </c>
    </row>
    <row r="124" spans="2:12" x14ac:dyDescent="0.2">
      <c r="B124" s="34">
        <v>6</v>
      </c>
      <c r="C124" s="196">
        <v>33.799999999999997</v>
      </c>
      <c r="D124" s="173">
        <f t="shared" si="2"/>
        <v>3.520460802488973</v>
      </c>
      <c r="G124" t="s">
        <v>9</v>
      </c>
      <c r="H124">
        <v>4.5361238339806327E-2</v>
      </c>
    </row>
    <row r="125" spans="2:12" ht="17" thickBot="1" x14ac:dyDescent="0.25">
      <c r="B125" s="34">
        <v>7</v>
      </c>
      <c r="C125" s="196">
        <v>34.799999999999997</v>
      </c>
      <c r="D125" s="173">
        <f t="shared" si="2"/>
        <v>3.5496173867804286</v>
      </c>
      <c r="G125" s="6" t="s">
        <v>10</v>
      </c>
      <c r="H125" s="6">
        <v>16</v>
      </c>
    </row>
    <row r="126" spans="2:12" x14ac:dyDescent="0.2">
      <c r="B126" s="34">
        <v>8</v>
      </c>
      <c r="C126" s="196">
        <v>36.700000000000003</v>
      </c>
      <c r="D126" s="173">
        <f t="shared" si="2"/>
        <v>3.6027767550605247</v>
      </c>
    </row>
    <row r="127" spans="2:12" ht="17" thickBot="1" x14ac:dyDescent="0.25">
      <c r="B127" s="34">
        <v>9</v>
      </c>
      <c r="C127" s="196">
        <v>38.1</v>
      </c>
      <c r="D127" s="173">
        <f t="shared" si="2"/>
        <v>3.6402142821326553</v>
      </c>
      <c r="G127" t="s">
        <v>11</v>
      </c>
    </row>
    <row r="128" spans="2:12" x14ac:dyDescent="0.2">
      <c r="B128" s="34">
        <v>10</v>
      </c>
      <c r="C128" s="196">
        <v>39.299999999999997</v>
      </c>
      <c r="D128" s="173">
        <f t="shared" si="2"/>
        <v>3.6712245188752153</v>
      </c>
      <c r="G128" s="7"/>
      <c r="H128" s="7" t="s">
        <v>12</v>
      </c>
      <c r="I128" s="7" t="s">
        <v>13</v>
      </c>
      <c r="J128" s="7" t="s">
        <v>14</v>
      </c>
      <c r="K128" s="7" t="s">
        <v>15</v>
      </c>
      <c r="L128" s="7" t="s">
        <v>16</v>
      </c>
    </row>
    <row r="129" spans="2:15" x14ac:dyDescent="0.2">
      <c r="B129" s="34">
        <v>11</v>
      </c>
      <c r="C129" s="196">
        <v>40.1</v>
      </c>
      <c r="D129" s="173">
        <f t="shared" si="2"/>
        <v>3.6913763343125234</v>
      </c>
      <c r="G129" t="s">
        <v>17</v>
      </c>
      <c r="H129">
        <v>1</v>
      </c>
      <c r="I129">
        <v>5.4004294906675146E-2</v>
      </c>
      <c r="J129">
        <v>5.4004294906675146E-2</v>
      </c>
      <c r="K129">
        <v>26.245720287477369</v>
      </c>
      <c r="L129">
        <v>1.5497734092036086E-4</v>
      </c>
    </row>
    <row r="130" spans="2:15" x14ac:dyDescent="0.2">
      <c r="B130" s="34">
        <v>12</v>
      </c>
      <c r="C130" s="196">
        <v>40.6</v>
      </c>
      <c r="D130" s="173">
        <f t="shared" si="2"/>
        <v>3.7037680666076871</v>
      </c>
      <c r="G130" t="s">
        <v>18</v>
      </c>
      <c r="H130">
        <v>14</v>
      </c>
      <c r="I130">
        <v>2.8806987212090018E-2</v>
      </c>
      <c r="J130">
        <v>2.0576419437207155E-3</v>
      </c>
    </row>
    <row r="131" spans="2:15" ht="17" thickBot="1" x14ac:dyDescent="0.25">
      <c r="B131" s="34">
        <v>13</v>
      </c>
      <c r="C131" s="197">
        <f>E10</f>
        <v>40.5</v>
      </c>
      <c r="D131" s="173">
        <f t="shared" si="2"/>
        <v>3.7013019741124933</v>
      </c>
      <c r="G131" s="6" t="s">
        <v>19</v>
      </c>
      <c r="H131" s="6">
        <v>15</v>
      </c>
      <c r="I131" s="6">
        <v>8.2811282118765164E-2</v>
      </c>
      <c r="J131" s="6"/>
      <c r="K131" s="6"/>
      <c r="L131" s="6"/>
    </row>
    <row r="132" spans="2:15" ht="17" thickBot="1" x14ac:dyDescent="0.25">
      <c r="B132" s="34">
        <v>14</v>
      </c>
      <c r="C132" s="197">
        <f>E10</f>
        <v>40.5</v>
      </c>
      <c r="D132" s="173">
        <f t="shared" si="2"/>
        <v>3.7013019741124933</v>
      </c>
    </row>
    <row r="133" spans="2:15" x14ac:dyDescent="0.2">
      <c r="B133" s="34">
        <v>15</v>
      </c>
      <c r="C133" s="196">
        <v>40.4</v>
      </c>
      <c r="D133" s="173">
        <f t="shared" si="2"/>
        <v>3.6988297849671046</v>
      </c>
      <c r="G133" s="7"/>
      <c r="H133" s="7" t="s">
        <v>20</v>
      </c>
      <c r="I133" s="7" t="s">
        <v>9</v>
      </c>
      <c r="J133" s="7" t="s">
        <v>21</v>
      </c>
      <c r="K133" s="7" t="s">
        <v>22</v>
      </c>
      <c r="L133" s="7" t="s">
        <v>23</v>
      </c>
      <c r="M133" s="7" t="s">
        <v>24</v>
      </c>
      <c r="N133" s="7" t="s">
        <v>25</v>
      </c>
      <c r="O133" s="7" t="s">
        <v>26</v>
      </c>
    </row>
    <row r="134" spans="2:15" ht="17" thickBot="1" x14ac:dyDescent="0.25">
      <c r="B134" s="188">
        <v>16</v>
      </c>
      <c r="C134" s="198">
        <v>40.5</v>
      </c>
      <c r="D134" s="174">
        <f t="shared" si="2"/>
        <v>3.7013019741124933</v>
      </c>
      <c r="G134" t="s">
        <v>27</v>
      </c>
      <c r="H134" s="37">
        <v>3.5163254328869238</v>
      </c>
      <c r="I134">
        <v>2.3787634067371995E-2</v>
      </c>
      <c r="J134">
        <v>147.82157077613897</v>
      </c>
      <c r="K134" s="37">
        <v>9.244187979639645E-24</v>
      </c>
      <c r="L134">
        <v>3.4653060320021645</v>
      </c>
      <c r="M134">
        <v>3.5673448337716831</v>
      </c>
      <c r="N134">
        <v>3.4653060320021645</v>
      </c>
      <c r="O134">
        <v>3.5673448337716831</v>
      </c>
    </row>
    <row r="135" spans="2:15" ht="17" thickBot="1" x14ac:dyDescent="0.25">
      <c r="G135" s="6" t="s">
        <v>0</v>
      </c>
      <c r="H135" s="128">
        <v>1.2603021918977251E-2</v>
      </c>
      <c r="I135" s="6">
        <v>2.4600585500688414E-3</v>
      </c>
      <c r="J135" s="6">
        <v>5.1230577087787497</v>
      </c>
      <c r="K135" s="128">
        <v>1.5497734092036086E-4</v>
      </c>
      <c r="L135" s="6">
        <v>7.3267210892912242E-3</v>
      </c>
      <c r="M135" s="6">
        <v>1.7879322748663277E-2</v>
      </c>
      <c r="N135" s="6">
        <v>7.3267210892912242E-3</v>
      </c>
      <c r="O135" s="6">
        <v>1.7879322748663277E-2</v>
      </c>
    </row>
    <row r="139" spans="2:15" x14ac:dyDescent="0.2">
      <c r="B139" t="s">
        <v>119</v>
      </c>
    </row>
    <row r="141" spans="2:15" x14ac:dyDescent="0.2">
      <c r="H141" t="s">
        <v>38</v>
      </c>
      <c r="I141" s="37">
        <f>EXP(H134)</f>
        <v>33.660513121133754</v>
      </c>
    </row>
    <row r="144" spans="2:15" x14ac:dyDescent="0.2">
      <c r="B144" t="s">
        <v>117</v>
      </c>
    </row>
    <row r="149" spans="2:8" x14ac:dyDescent="0.2">
      <c r="B149" t="s">
        <v>101</v>
      </c>
      <c r="C149" s="120">
        <f>H122</f>
        <v>0.6521369253675362</v>
      </c>
    </row>
    <row r="150" spans="2:8" x14ac:dyDescent="0.2">
      <c r="B150" t="s">
        <v>103</v>
      </c>
      <c r="C150" s="120">
        <f>H124/AVERAGE(D119:D134)</f>
        <v>1.2518794057816217E-2</v>
      </c>
    </row>
    <row r="151" spans="2:8" x14ac:dyDescent="0.2">
      <c r="B151" t="s">
        <v>115</v>
      </c>
    </row>
    <row r="155" spans="2:8" ht="32" x14ac:dyDescent="0.4">
      <c r="B155" s="135" t="s">
        <v>140</v>
      </c>
      <c r="C155" s="27"/>
    </row>
    <row r="157" spans="2:8" ht="17" thickBot="1" x14ac:dyDescent="0.25">
      <c r="B157" t="s">
        <v>138</v>
      </c>
      <c r="C157" t="s">
        <v>123</v>
      </c>
    </row>
    <row r="158" spans="2:8" ht="86" thickBot="1" x14ac:dyDescent="0.25">
      <c r="B158" s="30" t="s">
        <v>0</v>
      </c>
      <c r="C158" s="111" t="s">
        <v>32</v>
      </c>
      <c r="G158" t="s">
        <v>4</v>
      </c>
    </row>
    <row r="159" spans="2:8" ht="17" thickBot="1" x14ac:dyDescent="0.25">
      <c r="B159" s="34">
        <v>1</v>
      </c>
      <c r="C159" s="114">
        <v>37.590000000000003</v>
      </c>
    </row>
    <row r="160" spans="2:8" x14ac:dyDescent="0.2">
      <c r="B160" s="34">
        <v>2</v>
      </c>
      <c r="C160" s="114">
        <v>35.75</v>
      </c>
      <c r="G160" s="8" t="s">
        <v>5</v>
      </c>
      <c r="H160" s="8"/>
    </row>
    <row r="161" spans="2:15" x14ac:dyDescent="0.2">
      <c r="B161" s="34">
        <v>3</v>
      </c>
      <c r="C161" s="114">
        <v>34.270000000000003</v>
      </c>
      <c r="G161" t="s">
        <v>6</v>
      </c>
      <c r="H161">
        <v>0.61743384877658136</v>
      </c>
    </row>
    <row r="162" spans="2:15" x14ac:dyDescent="0.2">
      <c r="B162" s="34">
        <v>4</v>
      </c>
      <c r="C162" s="115">
        <v>34.5</v>
      </c>
      <c r="G162" t="s">
        <v>7</v>
      </c>
      <c r="H162">
        <v>0.38122455761506241</v>
      </c>
    </row>
    <row r="163" spans="2:15" x14ac:dyDescent="0.2">
      <c r="B163" s="34">
        <v>5</v>
      </c>
      <c r="C163" s="115">
        <v>33.6</v>
      </c>
      <c r="G163" t="s">
        <v>8</v>
      </c>
      <c r="H163">
        <v>0.33702631173042402</v>
      </c>
    </row>
    <row r="164" spans="2:15" x14ac:dyDescent="0.2">
      <c r="B164" s="34">
        <v>6</v>
      </c>
      <c r="C164" s="115">
        <v>33.799999999999997</v>
      </c>
      <c r="G164" t="s">
        <v>9</v>
      </c>
      <c r="H164">
        <v>6.0498871139115826E-2</v>
      </c>
    </row>
    <row r="165" spans="2:15" ht="17" thickBot="1" x14ac:dyDescent="0.25">
      <c r="B165" s="34">
        <v>7</v>
      </c>
      <c r="C165" s="115">
        <v>34.799999999999997</v>
      </c>
      <c r="G165" s="6" t="s">
        <v>10</v>
      </c>
      <c r="H165" s="6">
        <v>16</v>
      </c>
    </row>
    <row r="166" spans="2:15" x14ac:dyDescent="0.2">
      <c r="B166" s="34">
        <v>8</v>
      </c>
      <c r="C166" s="115">
        <v>36.700000000000003</v>
      </c>
    </row>
    <row r="167" spans="2:15" ht="17" thickBot="1" x14ac:dyDescent="0.25">
      <c r="B167" s="34">
        <v>9</v>
      </c>
      <c r="C167" s="115">
        <v>38.1</v>
      </c>
      <c r="G167" t="s">
        <v>11</v>
      </c>
    </row>
    <row r="168" spans="2:15" x14ac:dyDescent="0.2">
      <c r="B168" s="34">
        <v>10</v>
      </c>
      <c r="C168" s="115">
        <v>39.299999999999997</v>
      </c>
      <c r="G168" s="7"/>
      <c r="H168" s="7" t="s">
        <v>12</v>
      </c>
      <c r="I168" s="7" t="s">
        <v>13</v>
      </c>
      <c r="J168" s="7" t="s">
        <v>14</v>
      </c>
      <c r="K168" s="7" t="s">
        <v>15</v>
      </c>
      <c r="L168" s="7" t="s">
        <v>16</v>
      </c>
    </row>
    <row r="169" spans="2:15" x14ac:dyDescent="0.2">
      <c r="B169" s="34">
        <v>11</v>
      </c>
      <c r="C169" s="115">
        <v>40.1</v>
      </c>
      <c r="G169" t="s">
        <v>17</v>
      </c>
      <c r="H169">
        <v>1</v>
      </c>
      <c r="I169">
        <v>3.1569694391262379E-2</v>
      </c>
      <c r="J169">
        <v>3.1569694391262379E-2</v>
      </c>
      <c r="K169">
        <v>8.6253322950891445</v>
      </c>
      <c r="L169">
        <v>1.0823036138575486E-2</v>
      </c>
    </row>
    <row r="170" spans="2:15" x14ac:dyDescent="0.2">
      <c r="B170" s="34">
        <v>12</v>
      </c>
      <c r="C170" s="115">
        <v>40.6</v>
      </c>
      <c r="G170" t="s">
        <v>18</v>
      </c>
      <c r="H170">
        <v>14</v>
      </c>
      <c r="I170">
        <v>5.1241587727502785E-2</v>
      </c>
      <c r="J170">
        <v>3.6601134091073417E-3</v>
      </c>
    </row>
    <row r="171" spans="2:15" ht="17" thickBot="1" x14ac:dyDescent="0.25">
      <c r="B171" s="34">
        <v>13</v>
      </c>
      <c r="C171" s="148">
        <f>E10</f>
        <v>40.5</v>
      </c>
      <c r="G171" s="6" t="s">
        <v>19</v>
      </c>
      <c r="H171" s="6">
        <v>15</v>
      </c>
      <c r="I171" s="6">
        <v>8.2811282118765164E-2</v>
      </c>
      <c r="J171" s="6"/>
      <c r="K171" s="6"/>
      <c r="L171" s="6"/>
    </row>
    <row r="172" spans="2:15" ht="17" thickBot="1" x14ac:dyDescent="0.25">
      <c r="B172" s="34">
        <v>14</v>
      </c>
      <c r="C172" s="148">
        <f>E10</f>
        <v>40.5</v>
      </c>
    </row>
    <row r="173" spans="2:15" x14ac:dyDescent="0.2">
      <c r="B173" s="34">
        <v>15</v>
      </c>
      <c r="C173" s="115">
        <v>40.4</v>
      </c>
      <c r="G173" s="7"/>
      <c r="H173" s="7" t="s">
        <v>20</v>
      </c>
      <c r="I173" s="7" t="s">
        <v>9</v>
      </c>
      <c r="J173" s="7" t="s">
        <v>21</v>
      </c>
      <c r="K173" s="7" t="s">
        <v>22</v>
      </c>
      <c r="L173" s="7" t="s">
        <v>23</v>
      </c>
      <c r="M173" s="7" t="s">
        <v>24</v>
      </c>
      <c r="N173" s="7" t="s">
        <v>25</v>
      </c>
      <c r="O173" s="7" t="s">
        <v>26</v>
      </c>
    </row>
    <row r="174" spans="2:15" ht="17" thickBot="1" x14ac:dyDescent="0.25">
      <c r="B174" s="34">
        <v>16</v>
      </c>
      <c r="C174" s="119">
        <v>40.5</v>
      </c>
      <c r="G174" t="s">
        <v>27</v>
      </c>
      <c r="H174" s="37">
        <v>3.5120101510426927</v>
      </c>
      <c r="I174">
        <v>4.0848452072392946E-2</v>
      </c>
      <c r="J174">
        <v>85.976578618416056</v>
      </c>
      <c r="K174" s="37">
        <v>1.8084586429755221E-20</v>
      </c>
      <c r="L174">
        <v>3.424398934815776</v>
      </c>
      <c r="M174">
        <v>3.5996213672696094</v>
      </c>
      <c r="N174">
        <v>3.424398934815776</v>
      </c>
      <c r="O174">
        <v>3.5996213672696094</v>
      </c>
    </row>
    <row r="175" spans="2:15" ht="17" thickBot="1" x14ac:dyDescent="0.25">
      <c r="G175" s="6" t="s">
        <v>133</v>
      </c>
      <c r="H175" s="128">
        <v>5.8133268876481348E-2</v>
      </c>
      <c r="I175" s="6">
        <v>1.9794148613602364E-2</v>
      </c>
      <c r="J175" s="6">
        <v>2.9368916042457456</v>
      </c>
      <c r="K175" s="128">
        <v>1.0823036138575454E-2</v>
      </c>
      <c r="L175" s="6">
        <v>1.5679042431360334E-2</v>
      </c>
      <c r="M175" s="6">
        <v>0.10058749532160235</v>
      </c>
      <c r="N175" s="6">
        <v>1.5679042431360334E-2</v>
      </c>
      <c r="O175" s="6">
        <v>0.10058749532160235</v>
      </c>
    </row>
    <row r="176" spans="2:15" ht="17" thickBot="1" x14ac:dyDescent="0.25">
      <c r="B176" s="103" t="s">
        <v>133</v>
      </c>
      <c r="C176" s="3" t="s">
        <v>142</v>
      </c>
    </row>
    <row r="177" spans="1:12" x14ac:dyDescent="0.2">
      <c r="A177">
        <v>1</v>
      </c>
      <c r="B177" s="131">
        <f>LN(B159)</f>
        <v>0</v>
      </c>
      <c r="C177" s="108">
        <f>LN(C159)</f>
        <v>3.6267380575760866</v>
      </c>
    </row>
    <row r="178" spans="1:12" x14ac:dyDescent="0.2">
      <c r="A178">
        <v>2</v>
      </c>
      <c r="B178" s="125">
        <f t="shared" ref="B178:C192" si="3">LN(B160)</f>
        <v>0.69314718055994529</v>
      </c>
      <c r="C178" s="173">
        <f t="shared" si="3"/>
        <v>3.5765502691400166</v>
      </c>
    </row>
    <row r="179" spans="1:12" x14ac:dyDescent="0.2">
      <c r="A179">
        <v>3</v>
      </c>
      <c r="B179" s="125">
        <f t="shared" si="3"/>
        <v>1.0986122886681098</v>
      </c>
      <c r="C179" s="173">
        <f t="shared" si="3"/>
        <v>3.5342703358865175</v>
      </c>
      <c r="K179" t="s">
        <v>38</v>
      </c>
      <c r="L179" s="37">
        <f>EXP(H174)</f>
        <v>33.515571476938518</v>
      </c>
    </row>
    <row r="180" spans="1:12" x14ac:dyDescent="0.2">
      <c r="A180">
        <v>4</v>
      </c>
      <c r="B180" s="125">
        <f t="shared" si="3"/>
        <v>1.3862943611198906</v>
      </c>
      <c r="C180" s="173">
        <f t="shared" si="3"/>
        <v>3.5409593240373143</v>
      </c>
    </row>
    <row r="181" spans="1:12" x14ac:dyDescent="0.2">
      <c r="A181">
        <v>5</v>
      </c>
      <c r="B181" s="125">
        <f t="shared" si="3"/>
        <v>1.6094379124341003</v>
      </c>
      <c r="C181" s="173">
        <f t="shared" si="3"/>
        <v>3.5145260669691587</v>
      </c>
    </row>
    <row r="182" spans="1:12" x14ac:dyDescent="0.2">
      <c r="A182">
        <v>6</v>
      </c>
      <c r="B182" s="125">
        <f t="shared" si="3"/>
        <v>1.791759469228055</v>
      </c>
      <c r="C182" s="173">
        <f t="shared" si="3"/>
        <v>3.520460802488973</v>
      </c>
    </row>
    <row r="183" spans="1:12" x14ac:dyDescent="0.2">
      <c r="A183">
        <v>7</v>
      </c>
      <c r="B183" s="125">
        <f t="shared" si="3"/>
        <v>1.9459101490553132</v>
      </c>
      <c r="C183" s="173">
        <f t="shared" si="3"/>
        <v>3.5496173867804286</v>
      </c>
      <c r="G183" t="s">
        <v>117</v>
      </c>
    </row>
    <row r="184" spans="1:12" x14ac:dyDescent="0.2">
      <c r="A184">
        <v>8</v>
      </c>
      <c r="B184" s="125">
        <f t="shared" si="3"/>
        <v>2.0794415416798357</v>
      </c>
      <c r="C184" s="173">
        <f t="shared" si="3"/>
        <v>3.6027767550605247</v>
      </c>
    </row>
    <row r="185" spans="1:12" x14ac:dyDescent="0.2">
      <c r="A185">
        <v>9</v>
      </c>
      <c r="B185" s="125">
        <f t="shared" si="3"/>
        <v>2.1972245773362196</v>
      </c>
      <c r="C185" s="173">
        <f t="shared" si="3"/>
        <v>3.6402142821326553</v>
      </c>
    </row>
    <row r="186" spans="1:12" x14ac:dyDescent="0.2">
      <c r="A186">
        <v>10</v>
      </c>
      <c r="B186" s="125">
        <f t="shared" si="3"/>
        <v>2.3025850929940459</v>
      </c>
      <c r="C186" s="173">
        <f t="shared" si="3"/>
        <v>3.6712245188752153</v>
      </c>
    </row>
    <row r="187" spans="1:12" x14ac:dyDescent="0.2">
      <c r="A187">
        <v>11</v>
      </c>
      <c r="B187" s="125">
        <f t="shared" si="3"/>
        <v>2.3978952727983707</v>
      </c>
      <c r="C187" s="173">
        <f t="shared" si="3"/>
        <v>3.6913763343125234</v>
      </c>
    </row>
    <row r="188" spans="1:12" x14ac:dyDescent="0.2">
      <c r="A188">
        <v>12</v>
      </c>
      <c r="B188" s="125">
        <f t="shared" si="3"/>
        <v>2.4849066497880004</v>
      </c>
      <c r="C188" s="173">
        <f t="shared" si="3"/>
        <v>3.7037680666076871</v>
      </c>
    </row>
    <row r="189" spans="1:12" x14ac:dyDescent="0.2">
      <c r="A189">
        <v>13</v>
      </c>
      <c r="B189" s="125">
        <f t="shared" si="3"/>
        <v>2.5649493574615367</v>
      </c>
      <c r="C189" s="173">
        <f t="shared" si="3"/>
        <v>3.7013019741124933</v>
      </c>
    </row>
    <row r="190" spans="1:12" x14ac:dyDescent="0.2">
      <c r="A190">
        <v>14</v>
      </c>
      <c r="B190" s="125">
        <f t="shared" si="3"/>
        <v>2.6390573296152584</v>
      </c>
      <c r="C190" s="173">
        <f t="shared" si="3"/>
        <v>3.7013019741124933</v>
      </c>
      <c r="G190" t="s">
        <v>101</v>
      </c>
      <c r="H190" s="120">
        <f>H162</f>
        <v>0.38122455761506241</v>
      </c>
    </row>
    <row r="191" spans="1:12" x14ac:dyDescent="0.2">
      <c r="A191">
        <v>15</v>
      </c>
      <c r="B191" s="125">
        <f t="shared" si="3"/>
        <v>2.7080502011022101</v>
      </c>
      <c r="C191" s="173">
        <f t="shared" si="3"/>
        <v>3.6988297849671046</v>
      </c>
      <c r="G191" t="s">
        <v>103</v>
      </c>
      <c r="H191" s="120">
        <f>H164/AVERAGE(C177:C192)</f>
        <v>1.6696477791178967E-2</v>
      </c>
    </row>
    <row r="192" spans="1:12" ht="17" thickBot="1" x14ac:dyDescent="0.25">
      <c r="A192">
        <v>16</v>
      </c>
      <c r="B192" s="126">
        <f t="shared" si="3"/>
        <v>2.7725887222397811</v>
      </c>
      <c r="C192" s="174">
        <f t="shared" si="3"/>
        <v>3.7013019741124933</v>
      </c>
      <c r="G192" t="s">
        <v>115</v>
      </c>
    </row>
    <row r="195" spans="2:15" ht="17" thickBot="1" x14ac:dyDescent="0.25"/>
    <row r="196" spans="2:15" x14ac:dyDescent="0.2">
      <c r="B196" s="68" t="s">
        <v>149</v>
      </c>
      <c r="C196" s="70"/>
      <c r="D196" s="69"/>
      <c r="E196" s="68" t="s">
        <v>150</v>
      </c>
      <c r="F196" s="70"/>
      <c r="G196" s="69"/>
      <c r="H196" s="68" t="s">
        <v>151</v>
      </c>
      <c r="I196" s="70"/>
      <c r="J196" s="69"/>
      <c r="K196" s="151" t="s">
        <v>152</v>
      </c>
      <c r="L196" s="152"/>
      <c r="M196" s="69"/>
      <c r="N196" s="68" t="s">
        <v>153</v>
      </c>
      <c r="O196" s="70"/>
    </row>
    <row r="197" spans="2:15" x14ac:dyDescent="0.2">
      <c r="B197" s="71" t="s">
        <v>101</v>
      </c>
      <c r="C197" s="146">
        <f>C29</f>
        <v>0.66509038175007051</v>
      </c>
      <c r="E197" s="71" t="s">
        <v>101</v>
      </c>
      <c r="F197" s="146">
        <f>C71</f>
        <v>9.8859112212636713E-2</v>
      </c>
      <c r="H197" s="71" t="s">
        <v>101</v>
      </c>
      <c r="I197" s="146">
        <f>C110</f>
        <v>0.71197772602555676</v>
      </c>
      <c r="K197" s="153" t="s">
        <v>101</v>
      </c>
      <c r="L197" s="154">
        <f>C149</f>
        <v>0.6521369253675362</v>
      </c>
      <c r="N197" s="71" t="s">
        <v>101</v>
      </c>
      <c r="O197" s="146">
        <f>H190</f>
        <v>0.38122455761506241</v>
      </c>
    </row>
    <row r="198" spans="2:15" x14ac:dyDescent="0.2">
      <c r="B198" s="71" t="s">
        <v>103</v>
      </c>
      <c r="C198" s="146">
        <f>C30</f>
        <v>4.4088428700869896E-2</v>
      </c>
      <c r="E198" s="71" t="s">
        <v>103</v>
      </c>
      <c r="F198" s="146">
        <f>C72</f>
        <v>7.2319790376464951E-2</v>
      </c>
      <c r="H198" s="71" t="s">
        <v>103</v>
      </c>
      <c r="I198" s="146">
        <f>C111</f>
        <v>4.2429331573238548E-2</v>
      </c>
      <c r="K198" s="153" t="s">
        <v>103</v>
      </c>
      <c r="L198" s="154">
        <f>C150</f>
        <v>1.2518794057816217E-2</v>
      </c>
      <c r="N198" s="71" t="s">
        <v>103</v>
      </c>
      <c r="O198" s="146">
        <f>H191</f>
        <v>1.6696477791178967E-2</v>
      </c>
    </row>
    <row r="199" spans="2:15" ht="17" thickBot="1" x14ac:dyDescent="0.25">
      <c r="B199" s="73" t="s">
        <v>115</v>
      </c>
      <c r="C199" s="74"/>
      <c r="D199" s="6"/>
      <c r="E199" s="73" t="s">
        <v>137</v>
      </c>
      <c r="F199" s="74"/>
      <c r="G199" s="6"/>
      <c r="H199" s="73" t="s">
        <v>137</v>
      </c>
      <c r="I199" s="74"/>
      <c r="J199" s="6"/>
      <c r="K199" s="155" t="s">
        <v>115</v>
      </c>
      <c r="L199" s="156"/>
      <c r="M199" s="6"/>
      <c r="N199" s="73" t="s">
        <v>115</v>
      </c>
      <c r="O199" s="74"/>
    </row>
    <row r="202" spans="2:15" ht="17" thickBot="1" x14ac:dyDescent="0.25"/>
    <row r="203" spans="2:15" ht="24" x14ac:dyDescent="0.3">
      <c r="B203" s="139" t="s">
        <v>146</v>
      </c>
      <c r="C203" s="69"/>
      <c r="D203" s="69"/>
      <c r="E203" s="69"/>
      <c r="F203" s="69"/>
      <c r="G203" s="69"/>
      <c r="H203" s="69"/>
      <c r="I203" s="69"/>
      <c r="J203" s="69"/>
      <c r="K203" s="69"/>
      <c r="L203" s="70"/>
    </row>
    <row r="204" spans="2:15" x14ac:dyDescent="0.2">
      <c r="B204" s="71"/>
      <c r="L204" s="72"/>
    </row>
    <row r="205" spans="2:15" x14ac:dyDescent="0.2">
      <c r="B205" s="71"/>
      <c r="L205" s="72"/>
    </row>
    <row r="206" spans="2:15" x14ac:dyDescent="0.2">
      <c r="B206" s="71"/>
      <c r="L206" s="72"/>
    </row>
    <row r="207" spans="2:15" ht="24" x14ac:dyDescent="0.3">
      <c r="B207" s="140" t="s">
        <v>101</v>
      </c>
      <c r="C207" s="141">
        <f>L197</f>
        <v>0.6521369253675362</v>
      </c>
      <c r="E207" t="s">
        <v>234</v>
      </c>
      <c r="L207" s="72"/>
    </row>
    <row r="208" spans="2:15" ht="24" x14ac:dyDescent="0.3">
      <c r="B208" s="140" t="s">
        <v>103</v>
      </c>
      <c r="C208" s="141">
        <f>L198</f>
        <v>1.2518794057816217E-2</v>
      </c>
      <c r="E208" t="s">
        <v>235</v>
      </c>
      <c r="L208" s="72"/>
    </row>
    <row r="209" spans="2:12" ht="25" thickBot="1" x14ac:dyDescent="0.35">
      <c r="B209" s="142" t="s">
        <v>115</v>
      </c>
      <c r="C209" s="143"/>
      <c r="D209" s="6"/>
      <c r="E209" s="6"/>
      <c r="F209" s="6"/>
      <c r="G209" s="6"/>
      <c r="H209" s="6"/>
      <c r="I209" s="6"/>
      <c r="J209" s="6"/>
      <c r="K209" s="6"/>
      <c r="L209" s="7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J19"/>
  <sheetViews>
    <sheetView zoomScale="125" workbookViewId="0">
      <selection activeCell="J15" sqref="J15"/>
    </sheetView>
  </sheetViews>
  <sheetFormatPr baseColWidth="10" defaultColWidth="11.5" defaultRowHeight="16" x14ac:dyDescent="0.2"/>
  <sheetData>
    <row r="3" spans="2:10" ht="27" x14ac:dyDescent="0.35">
      <c r="B3" s="127" t="s">
        <v>161</v>
      </c>
      <c r="C3" s="27"/>
      <c r="D3" s="27"/>
      <c r="I3" t="s">
        <v>162</v>
      </c>
    </row>
    <row r="14" spans="2:10" ht="18" x14ac:dyDescent="0.25">
      <c r="I14" s="202" t="s">
        <v>236</v>
      </c>
      <c r="J14" s="27">
        <f>39373.26+(2.54*C17)-(399.73*C18)+210.36*C19</f>
        <v>18220.619651501198</v>
      </c>
    </row>
    <row r="15" spans="2:10" x14ac:dyDescent="0.2">
      <c r="B15" t="s">
        <v>165</v>
      </c>
    </row>
    <row r="17" spans="2:9" ht="20" x14ac:dyDescent="0.25">
      <c r="B17" s="160" t="s">
        <v>164</v>
      </c>
      <c r="C17">
        <f>2852.43*EXP(0.05*17)</f>
        <v>6673.6788698392547</v>
      </c>
      <c r="I17" t="s">
        <v>168</v>
      </c>
    </row>
    <row r="18" spans="2:9" ht="20" x14ac:dyDescent="0.25">
      <c r="B18" s="160" t="s">
        <v>166</v>
      </c>
      <c r="C18">
        <f>108.16-2.24*17+0.16*(17^2)</f>
        <v>116.32</v>
      </c>
    </row>
    <row r="19" spans="2:9" ht="20" x14ac:dyDescent="0.25">
      <c r="B19" s="160" t="s">
        <v>167</v>
      </c>
      <c r="C19" s="37">
        <f>33.66*EXP(0.01*17)</f>
        <v>39.897361295443496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DANE SUROWE</vt:lpstr>
      <vt:lpstr>DANE</vt:lpstr>
      <vt:lpstr>REGRESJA KROKOWA</vt:lpstr>
      <vt:lpstr>RESET</vt:lpstr>
      <vt:lpstr>WHITE'A</vt:lpstr>
      <vt:lpstr>DURBINA-WATSONA</vt:lpstr>
      <vt:lpstr>JBT</vt:lpstr>
      <vt:lpstr>DOBROĆ MODELU</vt:lpstr>
      <vt:lpstr>X1-modele nieliniowe</vt:lpstr>
      <vt:lpstr>X3-modele nieliniowe</vt:lpstr>
      <vt:lpstr>X6-modele nieliniowe</vt:lpstr>
      <vt:lpstr>Prognoza Y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Adamczewski</dc:creator>
  <cp:lastModifiedBy>Jan Adamczewski</cp:lastModifiedBy>
  <cp:revision/>
  <dcterms:created xsi:type="dcterms:W3CDTF">2025-04-03T09:51:32Z</dcterms:created>
  <dcterms:modified xsi:type="dcterms:W3CDTF">2025-05-26T09:09:27Z</dcterms:modified>
</cp:coreProperties>
</file>